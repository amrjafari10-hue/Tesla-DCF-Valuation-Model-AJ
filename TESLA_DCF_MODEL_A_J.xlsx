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te22754_qmul_ac_uk/Documents/"/>
    </mc:Choice>
  </mc:AlternateContent>
  <xr:revisionPtr revIDLastSave="0" documentId="8_{43CA9F74-E03C-40F8-B2A8-6EE3845F3DB5}" xr6:coauthVersionLast="47" xr6:coauthVersionMax="47" xr10:uidLastSave="{00000000-0000-0000-0000-000000000000}"/>
  <bookViews>
    <workbookView xWindow="-120" yWindow="-120" windowWidth="29040" windowHeight="15720" tabRatio="500" firstSheet="4" activeTab="4" xr2:uid="{00000000-000D-0000-FFFF-FFFF00000000}"/>
  </bookViews>
  <sheets>
    <sheet name="Cover" sheetId="1" r:id="rId1"/>
    <sheet name="Outputs" sheetId="2" r:id="rId2"/>
    <sheet name="Inputs" sheetId="3" r:id="rId3"/>
    <sheet name="Model" sheetId="4" r:id="rId4"/>
    <sheet name="Relative Valuation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3" i="3" l="1"/>
  <c r="E11" i="3"/>
  <c r="C177" i="4" s="1"/>
  <c r="H56" i="5"/>
  <c r="E54" i="5"/>
  <c r="H33" i="5"/>
  <c r="G33" i="5"/>
  <c r="H22" i="5"/>
  <c r="G22" i="5"/>
  <c r="F22" i="5"/>
  <c r="H21" i="5"/>
  <c r="G21" i="5"/>
  <c r="F21" i="5"/>
  <c r="G135" i="3"/>
  <c r="G134" i="3"/>
  <c r="G133" i="3"/>
  <c r="M132" i="3"/>
  <c r="F33" i="5" s="1"/>
  <c r="L118" i="3"/>
  <c r="G115" i="3"/>
  <c r="M118" i="3"/>
  <c r="G113" i="3"/>
  <c r="G112" i="3"/>
  <c r="L119" i="3" s="1"/>
  <c r="E112" i="3"/>
  <c r="L97" i="3"/>
  <c r="I97" i="3"/>
  <c r="L96" i="3"/>
  <c r="I96" i="3"/>
  <c r="M94" i="3"/>
  <c r="K94" i="3"/>
  <c r="J94" i="3"/>
  <c r="K93" i="3"/>
  <c r="J93" i="3"/>
  <c r="M93" i="3" s="1"/>
  <c r="K92" i="3"/>
  <c r="J92" i="3"/>
  <c r="M92" i="3" s="1"/>
  <c r="M91" i="3"/>
  <c r="K91" i="3"/>
  <c r="J91" i="3"/>
  <c r="K90" i="3"/>
  <c r="J90" i="3"/>
  <c r="M90" i="3" s="1"/>
  <c r="K89" i="3"/>
  <c r="J89" i="3"/>
  <c r="M88" i="3"/>
  <c r="K88" i="3"/>
  <c r="J88" i="3"/>
  <c r="K87" i="3"/>
  <c r="J87" i="3"/>
  <c r="R75" i="3"/>
  <c r="R74" i="3"/>
  <c r="R73" i="3"/>
  <c r="T98" i="4" s="1"/>
  <c r="G66" i="2"/>
  <c r="P59" i="2"/>
  <c r="P58" i="2"/>
  <c r="P55" i="2"/>
  <c r="E43" i="2"/>
  <c r="M30" i="2" s="1"/>
  <c r="M43" i="2" s="1"/>
  <c r="I40" i="2"/>
  <c r="Q27" i="2" s="1"/>
  <c r="Q40" i="2" s="1"/>
  <c r="P38" i="2"/>
  <c r="O38" i="2"/>
  <c r="H38" i="2"/>
  <c r="G38" i="2"/>
  <c r="F38" i="2"/>
  <c r="N38" i="2" s="1"/>
  <c r="P25" i="2"/>
  <c r="O25" i="2"/>
  <c r="N25" i="2"/>
  <c r="I25" i="2"/>
  <c r="H25" i="2"/>
  <c r="G25" i="2"/>
  <c r="F25" i="2"/>
  <c r="E25" i="2"/>
  <c r="P18" i="2"/>
  <c r="H18" i="2"/>
  <c r="P17" i="2"/>
  <c r="P16" i="2"/>
  <c r="E42" i="2" s="1"/>
  <c r="M29" i="2" s="1"/>
  <c r="M42" i="2" s="1"/>
  <c r="P14" i="2"/>
  <c r="N355" i="4"/>
  <c r="I355" i="4"/>
  <c r="I345" i="4"/>
  <c r="I338" i="4"/>
  <c r="I331" i="4"/>
  <c r="J324" i="4"/>
  <c r="K324" i="4" s="1"/>
  <c r="L324" i="4" s="1"/>
  <c r="M324" i="4" s="1"/>
  <c r="N324" i="4" s="1"/>
  <c r="O324" i="4" s="1"/>
  <c r="P324" i="4" s="1"/>
  <c r="Q324" i="4" s="1"/>
  <c r="R324" i="4" s="1"/>
  <c r="S324" i="4" s="1"/>
  <c r="T324" i="4" s="1"/>
  <c r="J323" i="4"/>
  <c r="K323" i="4" s="1"/>
  <c r="I323" i="4"/>
  <c r="D323" i="4"/>
  <c r="N313" i="4"/>
  <c r="I313" i="4"/>
  <c r="I303" i="4"/>
  <c r="I296" i="4"/>
  <c r="I289" i="4"/>
  <c r="L282" i="4"/>
  <c r="M282" i="4" s="1"/>
  <c r="N282" i="4" s="1"/>
  <c r="O282" i="4" s="1"/>
  <c r="P282" i="4" s="1"/>
  <c r="Q282" i="4" s="1"/>
  <c r="R282" i="4" s="1"/>
  <c r="S282" i="4" s="1"/>
  <c r="T282" i="4" s="1"/>
  <c r="K282" i="4"/>
  <c r="J282" i="4"/>
  <c r="I282" i="4"/>
  <c r="J299" i="4" s="1"/>
  <c r="K299" i="4" s="1"/>
  <c r="J281" i="4"/>
  <c r="J292" i="4" s="1"/>
  <c r="J295" i="4" s="1"/>
  <c r="I281" i="4"/>
  <c r="D281" i="4"/>
  <c r="J266" i="4"/>
  <c r="T265" i="4"/>
  <c r="S246" i="4"/>
  <c r="R246" i="4"/>
  <c r="Q246" i="4"/>
  <c r="P246" i="4"/>
  <c r="O246" i="4"/>
  <c r="N246" i="4"/>
  <c r="M246" i="4"/>
  <c r="L246" i="4"/>
  <c r="K246" i="4"/>
  <c r="J246" i="4"/>
  <c r="I235" i="4"/>
  <c r="J232" i="4"/>
  <c r="S211" i="4"/>
  <c r="R211" i="4"/>
  <c r="Q211" i="4"/>
  <c r="P211" i="4"/>
  <c r="O211" i="4"/>
  <c r="N211" i="4"/>
  <c r="M211" i="4"/>
  <c r="L211" i="4"/>
  <c r="K211" i="4"/>
  <c r="J211" i="4"/>
  <c r="I200" i="4"/>
  <c r="J197" i="4"/>
  <c r="E182" i="4"/>
  <c r="S176" i="4"/>
  <c r="R176" i="4"/>
  <c r="Q176" i="4"/>
  <c r="P176" i="4"/>
  <c r="O176" i="4"/>
  <c r="N176" i="4"/>
  <c r="M176" i="4"/>
  <c r="L176" i="4"/>
  <c r="K176" i="4"/>
  <c r="J176" i="4"/>
  <c r="I170" i="4"/>
  <c r="J167" i="4" s="1"/>
  <c r="E158" i="4"/>
  <c r="E157" i="4"/>
  <c r="S152" i="4"/>
  <c r="R152" i="4"/>
  <c r="Q152" i="4"/>
  <c r="P152" i="4"/>
  <c r="O152" i="4"/>
  <c r="N152" i="4"/>
  <c r="M152" i="4"/>
  <c r="L152" i="4"/>
  <c r="K152" i="4"/>
  <c r="J152" i="4"/>
  <c r="J141" i="4"/>
  <c r="G141" i="4"/>
  <c r="G137" i="4"/>
  <c r="G135" i="4"/>
  <c r="J133" i="4"/>
  <c r="G133" i="4"/>
  <c r="S131" i="4"/>
  <c r="R131" i="4"/>
  <c r="O131" i="4"/>
  <c r="M131" i="4"/>
  <c r="L131" i="4"/>
  <c r="E129" i="4"/>
  <c r="E128" i="4"/>
  <c r="E125" i="4"/>
  <c r="E124" i="4"/>
  <c r="S116" i="4"/>
  <c r="R116" i="4"/>
  <c r="Q116" i="4"/>
  <c r="P116" i="4"/>
  <c r="O116" i="4"/>
  <c r="N116" i="4"/>
  <c r="M116" i="4"/>
  <c r="L116" i="4"/>
  <c r="K116" i="4"/>
  <c r="J116" i="4"/>
  <c r="G132" i="4" s="1"/>
  <c r="I107" i="4"/>
  <c r="I108" i="4" s="1"/>
  <c r="H107" i="4"/>
  <c r="G107" i="4"/>
  <c r="I106" i="4"/>
  <c r="H106" i="4"/>
  <c r="H108" i="4" s="1"/>
  <c r="I110" i="4" s="1"/>
  <c r="G106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T99" i="4"/>
  <c r="S99" i="4"/>
  <c r="R99" i="4"/>
  <c r="Q99" i="4"/>
  <c r="P99" i="4"/>
  <c r="O99" i="4"/>
  <c r="N99" i="4"/>
  <c r="M99" i="4"/>
  <c r="L99" i="4"/>
  <c r="K99" i="4"/>
  <c r="J99" i="4"/>
  <c r="S98" i="4"/>
  <c r="R98" i="4"/>
  <c r="Q98" i="4"/>
  <c r="P98" i="4"/>
  <c r="O98" i="4"/>
  <c r="N98" i="4"/>
  <c r="M98" i="4"/>
  <c r="L98" i="4"/>
  <c r="K98" i="4"/>
  <c r="J98" i="4"/>
  <c r="I96" i="4"/>
  <c r="I99" i="4" s="1"/>
  <c r="I95" i="4"/>
  <c r="I98" i="4" s="1"/>
  <c r="H95" i="4"/>
  <c r="H98" i="4" s="1"/>
  <c r="G95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S91" i="4"/>
  <c r="R91" i="4"/>
  <c r="Q91" i="4"/>
  <c r="P91" i="4"/>
  <c r="O91" i="4"/>
  <c r="N91" i="4"/>
  <c r="M91" i="4"/>
  <c r="L91" i="4"/>
  <c r="K91" i="4"/>
  <c r="J91" i="4"/>
  <c r="T78" i="4"/>
  <c r="T266" i="4" s="1"/>
  <c r="I73" i="4"/>
  <c r="H73" i="4"/>
  <c r="G70" i="4"/>
  <c r="G69" i="4"/>
  <c r="D65" i="4"/>
  <c r="E217" i="4" s="1"/>
  <c r="D64" i="4"/>
  <c r="S78" i="4" s="1"/>
  <c r="S266" i="4" s="1"/>
  <c r="S61" i="4"/>
  <c r="R61" i="4"/>
  <c r="Q61" i="4"/>
  <c r="P61" i="4"/>
  <c r="O61" i="4"/>
  <c r="N61" i="4"/>
  <c r="M61" i="4"/>
  <c r="L61" i="4"/>
  <c r="K61" i="4"/>
  <c r="J61" i="4"/>
  <c r="I54" i="4"/>
  <c r="I55" i="4" s="1"/>
  <c r="I53" i="4"/>
  <c r="I70" i="4" s="1"/>
  <c r="H53" i="4"/>
  <c r="G53" i="4"/>
  <c r="G96" i="4" s="1"/>
  <c r="I51" i="4"/>
  <c r="H51" i="4"/>
  <c r="G51" i="4"/>
  <c r="I49" i="4"/>
  <c r="H49" i="4"/>
  <c r="G49" i="4"/>
  <c r="I47" i="4"/>
  <c r="H47" i="4"/>
  <c r="G47" i="4"/>
  <c r="I45" i="4"/>
  <c r="H45" i="4"/>
  <c r="G45" i="4"/>
  <c r="I43" i="4"/>
  <c r="H43" i="4"/>
  <c r="G43" i="4"/>
  <c r="I41" i="4"/>
  <c r="H41" i="4"/>
  <c r="G41" i="4"/>
  <c r="S38" i="4"/>
  <c r="R38" i="4"/>
  <c r="Q38" i="4"/>
  <c r="P38" i="4"/>
  <c r="O38" i="4"/>
  <c r="N38" i="4"/>
  <c r="M38" i="4"/>
  <c r="L38" i="4"/>
  <c r="K38" i="4"/>
  <c r="J38" i="4"/>
  <c r="G32" i="4"/>
  <c r="H31" i="4"/>
  <c r="H30" i="4"/>
  <c r="H28" i="4"/>
  <c r="I27" i="4"/>
  <c r="H27" i="4"/>
  <c r="H69" i="4" s="1"/>
  <c r="G27" i="4"/>
  <c r="G54" i="4" s="1"/>
  <c r="G55" i="4" s="1"/>
  <c r="I24" i="4"/>
  <c r="H24" i="4"/>
  <c r="I21" i="4"/>
  <c r="H21" i="4"/>
  <c r="I17" i="4"/>
  <c r="I16" i="4" s="1"/>
  <c r="H17" i="4"/>
  <c r="G17" i="4"/>
  <c r="H16" i="4"/>
  <c r="I13" i="4"/>
  <c r="H13" i="4"/>
  <c r="S10" i="4"/>
  <c r="R10" i="4"/>
  <c r="Q10" i="4"/>
  <c r="P10" i="4"/>
  <c r="O10" i="4"/>
  <c r="N10" i="4"/>
  <c r="M10" i="4"/>
  <c r="L10" i="4"/>
  <c r="K10" i="4"/>
  <c r="J10" i="4"/>
  <c r="C62" i="4" l="1"/>
  <c r="C39" i="4"/>
  <c r="C153" i="4"/>
  <c r="C11" i="4"/>
  <c r="I18" i="2"/>
  <c r="H64" i="5" s="1"/>
  <c r="Q16" i="3"/>
  <c r="S13" i="4" s="1"/>
  <c r="P52" i="3"/>
  <c r="R49" i="4" s="1"/>
  <c r="C92" i="4"/>
  <c r="C117" i="4"/>
  <c r="G139" i="4"/>
  <c r="Q141" i="4"/>
  <c r="Q131" i="4"/>
  <c r="H96" i="4"/>
  <c r="H70" i="4"/>
  <c r="H71" i="4" s="1"/>
  <c r="H75" i="4" s="1"/>
  <c r="H54" i="4"/>
  <c r="H55" i="4" s="1"/>
  <c r="I31" i="4"/>
  <c r="I69" i="4"/>
  <c r="I71" i="4" s="1"/>
  <c r="I75" i="4" s="1"/>
  <c r="I32" i="4"/>
  <c r="G71" i="4"/>
  <c r="G75" i="4" s="1"/>
  <c r="G100" i="4"/>
  <c r="G98" i="4"/>
  <c r="P141" i="4"/>
  <c r="G138" i="4"/>
  <c r="P131" i="4"/>
  <c r="N137" i="4"/>
  <c r="Q78" i="4"/>
  <c r="Q266" i="4" s="1"/>
  <c r="O78" i="4"/>
  <c r="O266" i="4" s="1"/>
  <c r="M78" i="4"/>
  <c r="M266" i="4" s="1"/>
  <c r="N78" i="4"/>
  <c r="N266" i="4" s="1"/>
  <c r="M89" i="3"/>
  <c r="J96" i="3"/>
  <c r="K78" i="4"/>
  <c r="K266" i="4" s="1"/>
  <c r="L78" i="4"/>
  <c r="L266" i="4" s="1"/>
  <c r="P139" i="4"/>
  <c r="I28" i="4"/>
  <c r="I30" i="4"/>
  <c r="P78" i="4"/>
  <c r="P266" i="4" s="1"/>
  <c r="R78" i="4"/>
  <c r="R266" i="4" s="1"/>
  <c r="G99" i="4"/>
  <c r="K141" i="4"/>
  <c r="H32" i="4"/>
  <c r="K137" i="4"/>
  <c r="K135" i="4"/>
  <c r="I164" i="4"/>
  <c r="J161" i="4" s="1"/>
  <c r="J131" i="4"/>
  <c r="M64" i="3"/>
  <c r="O119" i="4" s="1"/>
  <c r="H137" i="4" s="1"/>
  <c r="I137" i="4" s="1"/>
  <c r="P58" i="3"/>
  <c r="R73" i="4" s="1"/>
  <c r="H58" i="3"/>
  <c r="J73" i="4" s="1"/>
  <c r="J74" i="4" s="1"/>
  <c r="K52" i="3"/>
  <c r="M49" i="4" s="1"/>
  <c r="N46" i="3"/>
  <c r="P45" i="4" s="1"/>
  <c r="Q40" i="3"/>
  <c r="S41" i="4" s="1"/>
  <c r="I40" i="3"/>
  <c r="K41" i="4" s="1"/>
  <c r="L34" i="3"/>
  <c r="N24" i="4" s="1"/>
  <c r="O28" i="3"/>
  <c r="Q21" i="4" s="1"/>
  <c r="R22" i="3"/>
  <c r="T16" i="4" s="1"/>
  <c r="J22" i="3"/>
  <c r="L16" i="4" s="1"/>
  <c r="M16" i="3"/>
  <c r="O13" i="4" s="1"/>
  <c r="L64" i="3"/>
  <c r="N119" i="4" s="1"/>
  <c r="O58" i="3"/>
  <c r="Q73" i="4" s="1"/>
  <c r="R52" i="3"/>
  <c r="T49" i="4" s="1"/>
  <c r="J52" i="3"/>
  <c r="L49" i="4" s="1"/>
  <c r="M46" i="3"/>
  <c r="O45" i="4" s="1"/>
  <c r="P40" i="3"/>
  <c r="R41" i="4" s="1"/>
  <c r="H40" i="3"/>
  <c r="J41" i="4" s="1"/>
  <c r="K34" i="3"/>
  <c r="M24" i="4" s="1"/>
  <c r="N28" i="3"/>
  <c r="P21" i="4" s="1"/>
  <c r="Q22" i="3"/>
  <c r="S16" i="4" s="1"/>
  <c r="I22" i="3"/>
  <c r="K16" i="4" s="1"/>
  <c r="L16" i="3"/>
  <c r="N13" i="4" s="1"/>
  <c r="K64" i="3"/>
  <c r="M119" i="4" s="1"/>
  <c r="H135" i="4" s="1"/>
  <c r="I135" i="4" s="1"/>
  <c r="S135" i="4" s="1"/>
  <c r="N58" i="3"/>
  <c r="P73" i="4" s="1"/>
  <c r="Q52" i="3"/>
  <c r="S49" i="4" s="1"/>
  <c r="I52" i="3"/>
  <c r="K49" i="4" s="1"/>
  <c r="L46" i="3"/>
  <c r="N45" i="4" s="1"/>
  <c r="O40" i="3"/>
  <c r="Q41" i="4" s="1"/>
  <c r="R34" i="3"/>
  <c r="T24" i="4" s="1"/>
  <c r="J34" i="3"/>
  <c r="L24" i="4" s="1"/>
  <c r="M28" i="3"/>
  <c r="O21" i="4" s="1"/>
  <c r="P22" i="3"/>
  <c r="R16" i="4" s="1"/>
  <c r="H22" i="3"/>
  <c r="J16" i="4" s="1"/>
  <c r="J17" i="4" s="1"/>
  <c r="K16" i="3"/>
  <c r="M13" i="4" s="1"/>
  <c r="P64" i="3"/>
  <c r="R119" i="4" s="1"/>
  <c r="M58" i="3"/>
  <c r="O73" i="4" s="1"/>
  <c r="M52" i="3"/>
  <c r="O49" i="4" s="1"/>
  <c r="J46" i="3"/>
  <c r="L45" i="4" s="1"/>
  <c r="J40" i="3"/>
  <c r="L41" i="4" s="1"/>
  <c r="R28" i="3"/>
  <c r="T21" i="4" s="1"/>
  <c r="O22" i="3"/>
  <c r="Q16" i="4" s="1"/>
  <c r="O16" i="3"/>
  <c r="Q13" i="4" s="1"/>
  <c r="C279" i="4"/>
  <c r="O64" i="3"/>
  <c r="Q119" i="4" s="1"/>
  <c r="L58" i="3"/>
  <c r="N73" i="4" s="1"/>
  <c r="L52" i="3"/>
  <c r="N49" i="4" s="1"/>
  <c r="I46" i="3"/>
  <c r="K45" i="4" s="1"/>
  <c r="Q34" i="3"/>
  <c r="S24" i="4" s="1"/>
  <c r="Q28" i="3"/>
  <c r="S21" i="4" s="1"/>
  <c r="N22" i="3"/>
  <c r="P16" i="4" s="1"/>
  <c r="N16" i="3"/>
  <c r="P13" i="4" s="1"/>
  <c r="N64" i="3"/>
  <c r="P119" i="4" s="1"/>
  <c r="K58" i="3"/>
  <c r="M73" i="4" s="1"/>
  <c r="H52" i="3"/>
  <c r="J49" i="4" s="1"/>
  <c r="H46" i="3"/>
  <c r="J45" i="4" s="1"/>
  <c r="P34" i="3"/>
  <c r="R24" i="4" s="1"/>
  <c r="P28" i="3"/>
  <c r="R21" i="4" s="1"/>
  <c r="M22" i="3"/>
  <c r="O16" i="4" s="1"/>
  <c r="J16" i="3"/>
  <c r="L13" i="4" s="1"/>
  <c r="J64" i="3"/>
  <c r="L119" i="4" s="1"/>
  <c r="J58" i="3"/>
  <c r="L73" i="4" s="1"/>
  <c r="R46" i="3"/>
  <c r="T45" i="4" s="1"/>
  <c r="R40" i="3"/>
  <c r="T41" i="4" s="1"/>
  <c r="O34" i="3"/>
  <c r="Q24" i="4" s="1"/>
  <c r="L28" i="3"/>
  <c r="N21" i="4" s="1"/>
  <c r="L22" i="3"/>
  <c r="N16" i="4" s="1"/>
  <c r="I16" i="3"/>
  <c r="K13" i="4" s="1"/>
  <c r="I64" i="3"/>
  <c r="K119" i="4" s="1"/>
  <c r="H133" i="4" s="1"/>
  <c r="I133" i="4" s="1"/>
  <c r="I58" i="3"/>
  <c r="K73" i="4" s="1"/>
  <c r="Q46" i="3"/>
  <c r="S45" i="4" s="1"/>
  <c r="N40" i="3"/>
  <c r="P41" i="4" s="1"/>
  <c r="N34" i="3"/>
  <c r="P24" i="4" s="1"/>
  <c r="K28" i="3"/>
  <c r="M21" i="4" s="1"/>
  <c r="K22" i="3"/>
  <c r="M16" i="4" s="1"/>
  <c r="H16" i="3"/>
  <c r="J13" i="4" s="1"/>
  <c r="J14" i="4" s="1"/>
  <c r="P46" i="3"/>
  <c r="R45" i="4" s="1"/>
  <c r="H34" i="3"/>
  <c r="J24" i="4" s="1"/>
  <c r="J25" i="4" s="1"/>
  <c r="Q64" i="3"/>
  <c r="S119" i="4" s="1"/>
  <c r="H141" i="4" s="1"/>
  <c r="I141" i="4" s="1"/>
  <c r="S141" i="4" s="1"/>
  <c r="O46" i="3"/>
  <c r="Q45" i="4" s="1"/>
  <c r="J28" i="3"/>
  <c r="L21" i="4" s="1"/>
  <c r="H64" i="3"/>
  <c r="J119" i="4" s="1"/>
  <c r="K46" i="3"/>
  <c r="M45" i="4" s="1"/>
  <c r="I28" i="3"/>
  <c r="K21" i="4" s="1"/>
  <c r="R58" i="3"/>
  <c r="T73" i="4" s="1"/>
  <c r="M40" i="3"/>
  <c r="O41" i="4" s="1"/>
  <c r="H28" i="3"/>
  <c r="J21" i="4" s="1"/>
  <c r="J22" i="4" s="1"/>
  <c r="Q58" i="3"/>
  <c r="S73" i="4" s="1"/>
  <c r="L40" i="3"/>
  <c r="N41" i="4" s="1"/>
  <c r="R16" i="3"/>
  <c r="T13" i="4" s="1"/>
  <c r="C212" i="4"/>
  <c r="O52" i="3"/>
  <c r="Q49" i="4" s="1"/>
  <c r="N52" i="3"/>
  <c r="P49" i="4" s="1"/>
  <c r="C247" i="4"/>
  <c r="K40" i="3"/>
  <c r="M41" i="4" s="1"/>
  <c r="M34" i="3"/>
  <c r="O24" i="4" s="1"/>
  <c r="C321" i="4"/>
  <c r="J139" i="4"/>
  <c r="J137" i="4"/>
  <c r="J135" i="4"/>
  <c r="G140" i="4"/>
  <c r="J140" i="4" s="1"/>
  <c r="L125" i="4"/>
  <c r="L144" i="4" s="1"/>
  <c r="K125" i="4"/>
  <c r="J125" i="4"/>
  <c r="K281" i="4"/>
  <c r="G31" i="4"/>
  <c r="L137" i="4"/>
  <c r="L135" i="4"/>
  <c r="L139" i="4"/>
  <c r="G134" i="4"/>
  <c r="L141" i="4"/>
  <c r="M125" i="4"/>
  <c r="M144" i="4" s="1"/>
  <c r="K131" i="4"/>
  <c r="J134" i="4"/>
  <c r="R141" i="4"/>
  <c r="P16" i="3"/>
  <c r="R13" i="4" s="1"/>
  <c r="L299" i="4"/>
  <c r="M299" i="4" s="1"/>
  <c r="N299" i="4" s="1"/>
  <c r="O299" i="4" s="1"/>
  <c r="P299" i="4" s="1"/>
  <c r="Q299" i="4" s="1"/>
  <c r="R299" i="4" s="1"/>
  <c r="S299" i="4" s="1"/>
  <c r="G30" i="4"/>
  <c r="G108" i="4"/>
  <c r="H110" i="4" s="1"/>
  <c r="N139" i="4"/>
  <c r="J144" i="4"/>
  <c r="H252" i="4"/>
  <c r="I34" i="3"/>
  <c r="K24" i="4" s="1"/>
  <c r="N131" i="4"/>
  <c r="M141" i="4"/>
  <c r="M139" i="4"/>
  <c r="N141" i="4"/>
  <c r="I324" i="4"/>
  <c r="J341" i="4" s="1"/>
  <c r="K341" i="4" s="1"/>
  <c r="L341" i="4" s="1"/>
  <c r="M341" i="4" s="1"/>
  <c r="N341" i="4" s="1"/>
  <c r="O341" i="4" s="1"/>
  <c r="P341" i="4" s="1"/>
  <c r="Q341" i="4" s="1"/>
  <c r="R341" i="4" s="1"/>
  <c r="S341" i="4" s="1"/>
  <c r="J334" i="4"/>
  <c r="J337" i="4" s="1"/>
  <c r="O138" i="4"/>
  <c r="G136" i="4"/>
  <c r="M137" i="4"/>
  <c r="O141" i="4"/>
  <c r="K334" i="4"/>
  <c r="K337" i="4" s="1"/>
  <c r="L323" i="4"/>
  <c r="E38" i="2"/>
  <c r="M38" i="2" s="1"/>
  <c r="M25" i="2"/>
  <c r="E113" i="3"/>
  <c r="F111" i="3" s="1"/>
  <c r="H16" i="2"/>
  <c r="I16" i="2" s="1"/>
  <c r="H66" i="5" s="1"/>
  <c r="H43" i="2"/>
  <c r="P30" i="2" s="1"/>
  <c r="P43" i="2" s="1"/>
  <c r="H41" i="2"/>
  <c r="P28" i="2" s="1"/>
  <c r="P41" i="2" s="1"/>
  <c r="H39" i="2"/>
  <c r="P26" i="2" s="1"/>
  <c r="P39" i="2" s="1"/>
  <c r="G43" i="2"/>
  <c r="O30" i="2" s="1"/>
  <c r="O43" i="2" s="1"/>
  <c r="G41" i="2"/>
  <c r="O28" i="2" s="1"/>
  <c r="O41" i="2" s="1"/>
  <c r="G39" i="2"/>
  <c r="O26" i="2" s="1"/>
  <c r="O39" i="2" s="1"/>
  <c r="F43" i="2"/>
  <c r="N30" i="2" s="1"/>
  <c r="N43" i="2" s="1"/>
  <c r="F41" i="2"/>
  <c r="N28" i="2" s="1"/>
  <c r="N41" i="2" s="1"/>
  <c r="F39" i="2"/>
  <c r="N26" i="2" s="1"/>
  <c r="N39" i="2" s="1"/>
  <c r="H17" i="2"/>
  <c r="I17" i="2" s="1"/>
  <c r="I42" i="2"/>
  <c r="Q29" i="2" s="1"/>
  <c r="Q42" i="2" s="1"/>
  <c r="H40" i="2"/>
  <c r="P27" i="2" s="1"/>
  <c r="P40" i="2" s="1"/>
  <c r="I39" i="2"/>
  <c r="Q26" i="2" s="1"/>
  <c r="Q39" i="2" s="1"/>
  <c r="H42" i="2"/>
  <c r="P29" i="2" s="1"/>
  <c r="P42" i="2" s="1"/>
  <c r="I41" i="2"/>
  <c r="Q28" i="2" s="1"/>
  <c r="Q41" i="2" s="1"/>
  <c r="G40" i="2"/>
  <c r="O27" i="2" s="1"/>
  <c r="O40" i="2" s="1"/>
  <c r="E39" i="2"/>
  <c r="M26" i="2" s="1"/>
  <c r="M39" i="2" s="1"/>
  <c r="I43" i="2"/>
  <c r="Q30" i="2" s="1"/>
  <c r="Q43" i="2" s="1"/>
  <c r="G42" i="2"/>
  <c r="O29" i="2" s="1"/>
  <c r="O42" i="2" s="1"/>
  <c r="E41" i="2"/>
  <c r="M28" i="2" s="1"/>
  <c r="M41" i="2" s="1"/>
  <c r="F40" i="2"/>
  <c r="N27" i="2" s="1"/>
  <c r="N40" i="2" s="1"/>
  <c r="I38" i="2"/>
  <c r="Q38" i="2" s="1"/>
  <c r="Q25" i="2"/>
  <c r="E40" i="2"/>
  <c r="M27" i="2" s="1"/>
  <c r="M40" i="2" s="1"/>
  <c r="F42" i="2"/>
  <c r="N29" i="2" s="1"/>
  <c r="N42" i="2" s="1"/>
  <c r="F66" i="2"/>
  <c r="G79" i="2"/>
  <c r="O79" i="2" s="1"/>
  <c r="O66" i="2"/>
  <c r="H66" i="2"/>
  <c r="J97" i="3"/>
  <c r="M87" i="3"/>
  <c r="K96" i="3"/>
  <c r="K97" i="3"/>
  <c r="P57" i="2"/>
  <c r="F112" i="3" l="1"/>
  <c r="K17" i="4"/>
  <c r="L17" i="4" s="1"/>
  <c r="M17" i="4" s="1"/>
  <c r="N17" i="4" s="1"/>
  <c r="O17" i="4" s="1"/>
  <c r="P17" i="4" s="1"/>
  <c r="Q17" i="4" s="1"/>
  <c r="R17" i="4" s="1"/>
  <c r="S17" i="4" s="1"/>
  <c r="T17" i="4" s="1"/>
  <c r="H79" i="4"/>
  <c r="H76" i="4"/>
  <c r="K214" i="4"/>
  <c r="K221" i="4" s="1"/>
  <c r="P137" i="4"/>
  <c r="Q137" i="4"/>
  <c r="O137" i="4"/>
  <c r="R137" i="4"/>
  <c r="S137" i="4"/>
  <c r="O133" i="4"/>
  <c r="L133" i="4"/>
  <c r="R133" i="4"/>
  <c r="P133" i="4"/>
  <c r="N133" i="4"/>
  <c r="K133" i="4"/>
  <c r="M133" i="4"/>
  <c r="S133" i="4"/>
  <c r="Q133" i="4"/>
  <c r="K14" i="4"/>
  <c r="J19" i="4"/>
  <c r="R258" i="4"/>
  <c r="R268" i="4" s="1"/>
  <c r="R155" i="4"/>
  <c r="R162" i="4" s="1"/>
  <c r="R168" i="4" s="1"/>
  <c r="N258" i="4"/>
  <c r="N268" i="4" s="1"/>
  <c r="N155" i="4"/>
  <c r="N162" i="4" s="1"/>
  <c r="N168" i="4" s="1"/>
  <c r="P140" i="4"/>
  <c r="J258" i="4"/>
  <c r="J268" i="4" s="1"/>
  <c r="J155" i="4"/>
  <c r="J162" i="4" s="1"/>
  <c r="J168" i="4" s="1"/>
  <c r="F84" i="2"/>
  <c r="N71" i="2" s="1"/>
  <c r="N84" i="2" s="1"/>
  <c r="F82" i="2"/>
  <c r="N69" i="2" s="1"/>
  <c r="N82" i="2" s="1"/>
  <c r="F80" i="2"/>
  <c r="N67" i="2" s="1"/>
  <c r="N80" i="2" s="1"/>
  <c r="H58" i="2"/>
  <c r="I58" i="2" s="1"/>
  <c r="E84" i="2"/>
  <c r="M71" i="2" s="1"/>
  <c r="M84" i="2" s="1"/>
  <c r="I83" i="2"/>
  <c r="Q70" i="2" s="1"/>
  <c r="Q83" i="2" s="1"/>
  <c r="E82" i="2"/>
  <c r="M69" i="2" s="1"/>
  <c r="M82" i="2" s="1"/>
  <c r="I81" i="2"/>
  <c r="Q68" i="2" s="1"/>
  <c r="Q81" i="2" s="1"/>
  <c r="E80" i="2"/>
  <c r="M67" i="2" s="1"/>
  <c r="M80" i="2" s="1"/>
  <c r="H83" i="2"/>
  <c r="P70" i="2" s="1"/>
  <c r="P83" i="2" s="1"/>
  <c r="H81" i="2"/>
  <c r="P68" i="2" s="1"/>
  <c r="P81" i="2" s="1"/>
  <c r="I82" i="2"/>
  <c r="Q69" i="2" s="1"/>
  <c r="Q82" i="2" s="1"/>
  <c r="G81" i="2"/>
  <c r="O68" i="2" s="1"/>
  <c r="O81" i="2" s="1"/>
  <c r="H80" i="2"/>
  <c r="P67" i="2" s="1"/>
  <c r="P80" i="2" s="1"/>
  <c r="I84" i="2"/>
  <c r="Q71" i="2" s="1"/>
  <c r="Q84" i="2" s="1"/>
  <c r="H84" i="2"/>
  <c r="P71" i="2" s="1"/>
  <c r="P84" i="2" s="1"/>
  <c r="F83" i="2"/>
  <c r="N70" i="2" s="1"/>
  <c r="N83" i="2" s="1"/>
  <c r="G82" i="2"/>
  <c r="O69" i="2" s="1"/>
  <c r="O82" i="2" s="1"/>
  <c r="E81" i="2"/>
  <c r="M68" i="2" s="1"/>
  <c r="M81" i="2" s="1"/>
  <c r="H57" i="2"/>
  <c r="I57" i="2" s="1"/>
  <c r="G84" i="2"/>
  <c r="O71" i="2" s="1"/>
  <c r="O84" i="2" s="1"/>
  <c r="E83" i="2"/>
  <c r="M70" i="2" s="1"/>
  <c r="M83" i="2" s="1"/>
  <c r="I80" i="2"/>
  <c r="Q67" i="2" s="1"/>
  <c r="Q80" i="2" s="1"/>
  <c r="H82" i="2"/>
  <c r="P69" i="2" s="1"/>
  <c r="P82" i="2" s="1"/>
  <c r="G80" i="2"/>
  <c r="O67" i="2" s="1"/>
  <c r="O80" i="2" s="1"/>
  <c r="G83" i="2"/>
  <c r="O70" i="2" s="1"/>
  <c r="O83" i="2" s="1"/>
  <c r="F81" i="2"/>
  <c r="N68" i="2" s="1"/>
  <c r="N81" i="2" s="1"/>
  <c r="H59" i="2"/>
  <c r="I59" i="2" s="1"/>
  <c r="K74" i="4"/>
  <c r="L74" i="4" s="1"/>
  <c r="M74" i="4" s="1"/>
  <c r="N74" i="4" s="1"/>
  <c r="O74" i="4" s="1"/>
  <c r="P74" i="4" s="1"/>
  <c r="Q74" i="4" s="1"/>
  <c r="R74" i="4" s="1"/>
  <c r="S74" i="4" s="1"/>
  <c r="T74" i="4" s="1"/>
  <c r="H132" i="4"/>
  <c r="I132" i="4" s="1"/>
  <c r="E66" i="2"/>
  <c r="N66" i="2"/>
  <c r="F79" i="2"/>
  <c r="N79" i="2" s="1"/>
  <c r="O135" i="4"/>
  <c r="N135" i="4"/>
  <c r="M96" i="3"/>
  <c r="G103" i="3" s="1"/>
  <c r="G104" i="3" s="1"/>
  <c r="G105" i="3" s="1"/>
  <c r="M103" i="3" s="1"/>
  <c r="M105" i="3" s="1"/>
  <c r="M119" i="3" s="1"/>
  <c r="M122" i="3" s="1"/>
  <c r="M97" i="3"/>
  <c r="M136" i="4"/>
  <c r="K136" i="4"/>
  <c r="H136" i="4"/>
  <c r="I136" i="4" s="1"/>
  <c r="S136" i="4" s="1"/>
  <c r="L136" i="4"/>
  <c r="K144" i="4"/>
  <c r="J214" i="4"/>
  <c r="J221" i="4" s="1"/>
  <c r="G79" i="4"/>
  <c r="G76" i="4"/>
  <c r="Q135" i="4"/>
  <c r="F113" i="3"/>
  <c r="F115" i="3"/>
  <c r="J46" i="4"/>
  <c r="J47" i="4" s="1"/>
  <c r="K22" i="4"/>
  <c r="S258" i="4"/>
  <c r="S268" i="4" s="1"/>
  <c r="S155" i="4"/>
  <c r="S162" i="4" s="1"/>
  <c r="S168" i="4" s="1"/>
  <c r="M258" i="4"/>
  <c r="M268" i="4" s="1"/>
  <c r="M155" i="4"/>
  <c r="M162" i="4" s="1"/>
  <c r="M168" i="4" s="1"/>
  <c r="O155" i="4"/>
  <c r="O162" i="4" s="1"/>
  <c r="O168" i="4" s="1"/>
  <c r="O258" i="4"/>
  <c r="O268" i="4" s="1"/>
  <c r="P135" i="4"/>
  <c r="H139" i="4"/>
  <c r="I139" i="4" s="1"/>
  <c r="S139" i="4" s="1"/>
  <c r="O139" i="4"/>
  <c r="J50" i="4"/>
  <c r="J51" i="4" s="1"/>
  <c r="K25" i="4"/>
  <c r="K139" i="4"/>
  <c r="H138" i="4"/>
  <c r="I138" i="4" s="1"/>
  <c r="N138" i="4"/>
  <c r="M138" i="4"/>
  <c r="L138" i="4"/>
  <c r="K138" i="4"/>
  <c r="J138" i="4"/>
  <c r="H99" i="4"/>
  <c r="H100" i="4"/>
  <c r="L140" i="4"/>
  <c r="H134" i="4"/>
  <c r="I134" i="4" s="1"/>
  <c r="O134" i="4" s="1"/>
  <c r="K134" i="4"/>
  <c r="R135" i="4"/>
  <c r="M135" i="4"/>
  <c r="H79" i="2"/>
  <c r="P79" i="2" s="1"/>
  <c r="P66" i="2"/>
  <c r="I66" i="2"/>
  <c r="K292" i="4"/>
  <c r="K295" i="4" s="1"/>
  <c r="L281" i="4"/>
  <c r="H140" i="4"/>
  <c r="I140" i="4" s="1"/>
  <c r="S140" i="4" s="1"/>
  <c r="O140" i="4"/>
  <c r="N140" i="4"/>
  <c r="L334" i="4"/>
  <c r="L337" i="4" s="1"/>
  <c r="M323" i="4"/>
  <c r="M140" i="4"/>
  <c r="J136" i="4"/>
  <c r="N125" i="4"/>
  <c r="K258" i="4"/>
  <c r="K268" i="4" s="1"/>
  <c r="K155" i="4"/>
  <c r="K162" i="4" s="1"/>
  <c r="K168" i="4" s="1"/>
  <c r="L258" i="4"/>
  <c r="L268" i="4" s="1"/>
  <c r="L155" i="4"/>
  <c r="L162" i="4" s="1"/>
  <c r="L168" i="4" s="1"/>
  <c r="P155" i="4"/>
  <c r="P162" i="4" s="1"/>
  <c r="P168" i="4" s="1"/>
  <c r="P258" i="4"/>
  <c r="P268" i="4" s="1"/>
  <c r="Q258" i="4"/>
  <c r="Q268" i="4" s="1"/>
  <c r="Q155" i="4"/>
  <c r="Q162" i="4" s="1"/>
  <c r="Q168" i="4" s="1"/>
  <c r="K140" i="4"/>
  <c r="I79" i="4"/>
  <c r="I76" i="4"/>
  <c r="L214" i="4"/>
  <c r="L221" i="4" s="1"/>
  <c r="Q140" i="4"/>
  <c r="S134" i="4" l="1"/>
  <c r="N134" i="4"/>
  <c r="M134" i="4"/>
  <c r="P134" i="4"/>
  <c r="Q136" i="4"/>
  <c r="P136" i="4"/>
  <c r="R140" i="4"/>
  <c r="L134" i="4"/>
  <c r="R134" i="4"/>
  <c r="D69" i="2"/>
  <c r="G144" i="3"/>
  <c r="G145" i="3" s="1"/>
  <c r="P15" i="2"/>
  <c r="D282" i="4" s="1"/>
  <c r="K302" i="4" s="1"/>
  <c r="P56" i="2"/>
  <c r="D324" i="4" s="1"/>
  <c r="L344" i="4" s="1"/>
  <c r="D28" i="2"/>
  <c r="Q125" i="4"/>
  <c r="Q144" i="4" s="1"/>
  <c r="J169" i="4"/>
  <c r="J27" i="4"/>
  <c r="J30" i="4" s="1"/>
  <c r="J42" i="4"/>
  <c r="J53" i="4" s="1"/>
  <c r="L292" i="4"/>
  <c r="L295" i="4" s="1"/>
  <c r="M281" i="4"/>
  <c r="K46" i="4"/>
  <c r="K47" i="4" s="1"/>
  <c r="L22" i="4"/>
  <c r="J179" i="4"/>
  <c r="J186" i="4" s="1"/>
  <c r="G85" i="4"/>
  <c r="E79" i="2"/>
  <c r="M79" i="2" s="1"/>
  <c r="M66" i="2"/>
  <c r="K233" i="4"/>
  <c r="K240" i="4"/>
  <c r="L233" i="4"/>
  <c r="L240" i="4"/>
  <c r="P132" i="4"/>
  <c r="R132" i="4"/>
  <c r="Q132" i="4"/>
  <c r="O132" i="4"/>
  <c r="M132" i="4"/>
  <c r="L132" i="4"/>
  <c r="S132" i="4"/>
  <c r="J132" i="4"/>
  <c r="J145" i="4" s="1"/>
  <c r="J146" i="4" s="1"/>
  <c r="N132" i="4"/>
  <c r="K132" i="4"/>
  <c r="K145" i="4" s="1"/>
  <c r="K146" i="4" s="1"/>
  <c r="N323" i="4"/>
  <c r="M334" i="4"/>
  <c r="M337" i="4" s="1"/>
  <c r="N144" i="4"/>
  <c r="I79" i="2"/>
  <c r="Q79" i="2" s="1"/>
  <c r="Q66" i="2"/>
  <c r="J233" i="4"/>
  <c r="J240" i="4"/>
  <c r="L179" i="4"/>
  <c r="L186" i="4" s="1"/>
  <c r="I85" i="4"/>
  <c r="N136" i="4"/>
  <c r="O136" i="4"/>
  <c r="R136" i="4"/>
  <c r="O125" i="4"/>
  <c r="O144" i="4" s="1"/>
  <c r="L25" i="4"/>
  <c r="K50" i="4"/>
  <c r="K51" i="4" s="1"/>
  <c r="L14" i="4"/>
  <c r="K19" i="4"/>
  <c r="K179" i="4"/>
  <c r="K186" i="4" s="1"/>
  <c r="H85" i="4"/>
  <c r="P125" i="4"/>
  <c r="P144" i="4" s="1"/>
  <c r="P138" i="4"/>
  <c r="R138" i="4"/>
  <c r="Q138" i="4"/>
  <c r="S138" i="4"/>
  <c r="R139" i="4"/>
  <c r="Q139" i="4"/>
  <c r="Q134" i="4"/>
  <c r="M145" i="4" l="1"/>
  <c r="M146" i="4" s="1"/>
  <c r="P145" i="4"/>
  <c r="P146" i="4" s="1"/>
  <c r="L302" i="4"/>
  <c r="N145" i="4"/>
  <c r="L145" i="4"/>
  <c r="L146" i="4" s="1"/>
  <c r="L163" i="4" s="1"/>
  <c r="K163" i="4"/>
  <c r="K121" i="4"/>
  <c r="K67" i="4"/>
  <c r="K264" i="4" s="1"/>
  <c r="K27" i="4"/>
  <c r="K42" i="4"/>
  <c r="K53" i="4" s="1"/>
  <c r="N281" i="4"/>
  <c r="M292" i="4"/>
  <c r="M295" i="4" s="1"/>
  <c r="M302" i="4" s="1"/>
  <c r="K198" i="4"/>
  <c r="K205" i="4"/>
  <c r="R145" i="4"/>
  <c r="J223" i="4"/>
  <c r="J188" i="4"/>
  <c r="K344" i="4"/>
  <c r="J344" i="4"/>
  <c r="R125" i="4"/>
  <c r="R144" i="4" s="1"/>
  <c r="J43" i="4"/>
  <c r="L198" i="4"/>
  <c r="L205" i="4"/>
  <c r="N146" i="4"/>
  <c r="M163" i="4"/>
  <c r="M121" i="4"/>
  <c r="M67" i="4"/>
  <c r="M264" i="4" s="1"/>
  <c r="M22" i="4"/>
  <c r="L46" i="4"/>
  <c r="L47" i="4" s="1"/>
  <c r="M14" i="4"/>
  <c r="L19" i="4"/>
  <c r="S145" i="4"/>
  <c r="J70" i="4"/>
  <c r="J96" i="4"/>
  <c r="M344" i="4"/>
  <c r="O145" i="4"/>
  <c r="O146" i="4" s="1"/>
  <c r="E37" i="5"/>
  <c r="F37" i="5" s="1"/>
  <c r="G37" i="5" s="1"/>
  <c r="H37" i="5" s="1"/>
  <c r="I37" i="5" s="1"/>
  <c r="E35" i="5"/>
  <c r="F35" i="5" s="1"/>
  <c r="G35" i="5" s="1"/>
  <c r="H35" i="5" s="1"/>
  <c r="I35" i="5" s="1"/>
  <c r="J95" i="4"/>
  <c r="J102" i="4" s="1"/>
  <c r="J28" i="4"/>
  <c r="J69" i="4"/>
  <c r="J54" i="4"/>
  <c r="J55" i="4" s="1"/>
  <c r="F24" i="5"/>
  <c r="J32" i="4"/>
  <c r="J31" i="4"/>
  <c r="L69" i="2"/>
  <c r="D68" i="2"/>
  <c r="D82" i="2"/>
  <c r="D70" i="2"/>
  <c r="J163" i="4"/>
  <c r="J121" i="4"/>
  <c r="J67" i="4"/>
  <c r="J264" i="4" s="1"/>
  <c r="L28" i="2"/>
  <c r="D27" i="2"/>
  <c r="D29" i="2"/>
  <c r="D41" i="2"/>
  <c r="J198" i="4"/>
  <c r="J205" i="4"/>
  <c r="M25" i="4"/>
  <c r="L50" i="4"/>
  <c r="L51" i="4" s="1"/>
  <c r="J302" i="4"/>
  <c r="O323" i="4"/>
  <c r="N334" i="4"/>
  <c r="N337" i="4" s="1"/>
  <c r="N344" i="4" s="1"/>
  <c r="Q145" i="4"/>
  <c r="Q146" i="4" s="1"/>
  <c r="J170" i="4"/>
  <c r="K167" i="4" s="1"/>
  <c r="L67" i="4" l="1"/>
  <c r="L264" i="4" s="1"/>
  <c r="L121" i="4"/>
  <c r="Q121" i="4"/>
  <c r="Q163" i="4"/>
  <c r="Q67" i="4"/>
  <c r="Q264" i="4" s="1"/>
  <c r="O121" i="4"/>
  <c r="O67" i="4"/>
  <c r="O264" i="4" s="1"/>
  <c r="O163" i="4"/>
  <c r="K70" i="4"/>
  <c r="K96" i="4"/>
  <c r="N25" i="4"/>
  <c r="M50" i="4"/>
  <c r="M51" i="4" s="1"/>
  <c r="L27" i="2"/>
  <c r="D26" i="2"/>
  <c r="L26" i="2" s="1"/>
  <c r="J104" i="4"/>
  <c r="J107" i="4" s="1"/>
  <c r="J103" i="4"/>
  <c r="J106" i="4" s="1"/>
  <c r="N22" i="4"/>
  <c r="M46" i="4"/>
  <c r="M47" i="4" s="1"/>
  <c r="N292" i="4"/>
  <c r="N295" i="4" s="1"/>
  <c r="N302" i="4" s="1"/>
  <c r="O281" i="4"/>
  <c r="K69" i="4"/>
  <c r="K28" i="4"/>
  <c r="K95" i="4"/>
  <c r="K102" i="4" s="1"/>
  <c r="K54" i="4"/>
  <c r="K55" i="4" s="1"/>
  <c r="K31" i="4"/>
  <c r="K32" i="4"/>
  <c r="J222" i="4"/>
  <c r="J224" i="4" s="1"/>
  <c r="J187" i="4"/>
  <c r="J189" i="4" s="1"/>
  <c r="J164" i="4"/>
  <c r="K161" i="4" s="1"/>
  <c r="K164" i="4" s="1"/>
  <c r="L161" i="4" s="1"/>
  <c r="L164" i="4" s="1"/>
  <c r="M161" i="4" s="1"/>
  <c r="M164" i="4" s="1"/>
  <c r="N161" i="4" s="1"/>
  <c r="L70" i="2"/>
  <c r="D71" i="2"/>
  <c r="L71" i="2" s="1"/>
  <c r="J71" i="4"/>
  <c r="J75" i="4" s="1"/>
  <c r="N163" i="4"/>
  <c r="N121" i="4"/>
  <c r="N67" i="4"/>
  <c r="N264" i="4" s="1"/>
  <c r="R146" i="4"/>
  <c r="P121" i="4"/>
  <c r="P163" i="4"/>
  <c r="P67" i="4"/>
  <c r="P264" i="4" s="1"/>
  <c r="D42" i="2"/>
  <c r="D40" i="2"/>
  <c r="L41" i="2"/>
  <c r="D81" i="2"/>
  <c r="D83" i="2"/>
  <c r="L82" i="2"/>
  <c r="O334" i="4"/>
  <c r="O337" i="4" s="1"/>
  <c r="O344" i="4" s="1"/>
  <c r="P323" i="4"/>
  <c r="L42" i="4"/>
  <c r="L53" i="4" s="1"/>
  <c r="L27" i="4"/>
  <c r="K43" i="4"/>
  <c r="N14" i="4"/>
  <c r="M19" i="4"/>
  <c r="M222" i="4"/>
  <c r="M187" i="4"/>
  <c r="K30" i="4"/>
  <c r="S125" i="4"/>
  <c r="S144" i="4" s="1"/>
  <c r="S146" i="4" s="1"/>
  <c r="K169" i="4"/>
  <c r="K170" i="4" s="1"/>
  <c r="L167" i="4" s="1"/>
  <c r="L29" i="2"/>
  <c r="D30" i="2"/>
  <c r="L30" i="2" s="1"/>
  <c r="L68" i="2"/>
  <c r="D67" i="2"/>
  <c r="L67" i="2" s="1"/>
  <c r="L222" i="4"/>
  <c r="L187" i="4"/>
  <c r="K187" i="4"/>
  <c r="K222" i="4"/>
  <c r="J108" i="4" l="1"/>
  <c r="J110" i="4" s="1"/>
  <c r="J259" i="4" s="1"/>
  <c r="J269" i="4" s="1"/>
  <c r="K71" i="4"/>
  <c r="K75" i="4" s="1"/>
  <c r="N214" i="4" s="1"/>
  <c r="N221" i="4" s="1"/>
  <c r="L96" i="4"/>
  <c r="L70" i="4"/>
  <c r="L40" i="2"/>
  <c r="D39" i="2"/>
  <c r="L39" i="2" s="1"/>
  <c r="J192" i="4"/>
  <c r="J180" i="4"/>
  <c r="K103" i="4"/>
  <c r="K104" i="4"/>
  <c r="K107" i="4" s="1"/>
  <c r="L42" i="2"/>
  <c r="D43" i="2"/>
  <c r="L43" i="2" s="1"/>
  <c r="J227" i="4"/>
  <c r="J215" i="4"/>
  <c r="J256" i="4"/>
  <c r="M214" i="4"/>
  <c r="M221" i="4" s="1"/>
  <c r="J76" i="4"/>
  <c r="J79" i="4"/>
  <c r="O292" i="4"/>
  <c r="O295" i="4" s="1"/>
  <c r="O302" i="4" s="1"/>
  <c r="P281" i="4"/>
  <c r="O222" i="4"/>
  <c r="O187" i="4"/>
  <c r="N19" i="4"/>
  <c r="O14" i="4"/>
  <c r="P187" i="4"/>
  <c r="P222" i="4"/>
  <c r="L169" i="4"/>
  <c r="K223" i="4"/>
  <c r="K224" i="4" s="1"/>
  <c r="K188" i="4"/>
  <c r="K189" i="4" s="1"/>
  <c r="L95" i="4"/>
  <c r="L102" i="4" s="1"/>
  <c r="L54" i="4"/>
  <c r="L55" i="4" s="1"/>
  <c r="L69" i="4"/>
  <c r="L28" i="4"/>
  <c r="L31" i="4"/>
  <c r="L32" i="4"/>
  <c r="L83" i="2"/>
  <c r="D84" i="2"/>
  <c r="L84" i="2" s="1"/>
  <c r="S163" i="4"/>
  <c r="T146" i="4"/>
  <c r="S67" i="4"/>
  <c r="S264" i="4" s="1"/>
  <c r="S121" i="4"/>
  <c r="L43" i="4"/>
  <c r="L81" i="2"/>
  <c r="D80" i="2"/>
  <c r="L80" i="2" s="1"/>
  <c r="R163" i="4"/>
  <c r="R121" i="4"/>
  <c r="R67" i="4"/>
  <c r="R264" i="4" s="1"/>
  <c r="Q222" i="4"/>
  <c r="Q187" i="4"/>
  <c r="P334" i="4"/>
  <c r="P337" i="4" s="1"/>
  <c r="P344" i="4" s="1"/>
  <c r="Q323" i="4"/>
  <c r="N187" i="4"/>
  <c r="N222" i="4"/>
  <c r="M42" i="4"/>
  <c r="M53" i="4" s="1"/>
  <c r="M27" i="4"/>
  <c r="M30" i="4" s="1"/>
  <c r="L30" i="4"/>
  <c r="N164" i="4"/>
  <c r="O161" i="4" s="1"/>
  <c r="O164" i="4" s="1"/>
  <c r="P161" i="4" s="1"/>
  <c r="P164" i="4" s="1"/>
  <c r="Q161" i="4" s="1"/>
  <c r="Q164" i="4" s="1"/>
  <c r="R161" i="4" s="1"/>
  <c r="K106" i="4"/>
  <c r="K108" i="4" s="1"/>
  <c r="N46" i="4"/>
  <c r="N47" i="4" s="1"/>
  <c r="O22" i="4"/>
  <c r="N50" i="4"/>
  <c r="N51" i="4" s="1"/>
  <c r="O25" i="4"/>
  <c r="K76" i="4" l="1"/>
  <c r="K79" i="4"/>
  <c r="N179" i="4" s="1"/>
  <c r="N186" i="4" s="1"/>
  <c r="R164" i="4"/>
  <c r="S161" i="4" s="1"/>
  <c r="S164" i="4" s="1"/>
  <c r="K256" i="4"/>
  <c r="J199" i="4"/>
  <c r="J200" i="4" s="1"/>
  <c r="K197" i="4" s="1"/>
  <c r="K215" i="4"/>
  <c r="K227" i="4"/>
  <c r="Q334" i="4"/>
  <c r="Q337" i="4" s="1"/>
  <c r="Q344" i="4" s="1"/>
  <c r="R323" i="4"/>
  <c r="J234" i="4"/>
  <c r="M70" i="4"/>
  <c r="M96" i="4"/>
  <c r="P292" i="4"/>
  <c r="P295" i="4" s="1"/>
  <c r="P302" i="4" s="1"/>
  <c r="Q281" i="4"/>
  <c r="K180" i="4"/>
  <c r="K192" i="4"/>
  <c r="S187" i="4"/>
  <c r="S222" i="4"/>
  <c r="L188" i="4"/>
  <c r="L189" i="4" s="1"/>
  <c r="L223" i="4"/>
  <c r="L224" i="4" s="1"/>
  <c r="N233" i="4"/>
  <c r="N240" i="4"/>
  <c r="L170" i="4"/>
  <c r="M167" i="4" s="1"/>
  <c r="L104" i="4"/>
  <c r="L107" i="4" s="1"/>
  <c r="L103" i="4"/>
  <c r="L106" i="4" s="1"/>
  <c r="L71" i="4"/>
  <c r="L75" i="4" s="1"/>
  <c r="P22" i="4"/>
  <c r="O46" i="4"/>
  <c r="O47" i="4" s="1"/>
  <c r="M28" i="4"/>
  <c r="M95" i="4"/>
  <c r="M102" i="4" s="1"/>
  <c r="M54" i="4"/>
  <c r="M55" i="4" s="1"/>
  <c r="M69" i="4"/>
  <c r="M31" i="4"/>
  <c r="M32" i="4"/>
  <c r="R222" i="4"/>
  <c r="R187" i="4"/>
  <c r="O19" i="4"/>
  <c r="P14" i="4"/>
  <c r="M233" i="4"/>
  <c r="M240" i="4"/>
  <c r="P25" i="4"/>
  <c r="O50" i="4"/>
  <c r="O51" i="4" s="1"/>
  <c r="T67" i="4"/>
  <c r="T264" i="4" s="1"/>
  <c r="T121" i="4"/>
  <c r="M179" i="4"/>
  <c r="M186" i="4" s="1"/>
  <c r="M43" i="4"/>
  <c r="N27" i="4"/>
  <c r="N42" i="4"/>
  <c r="N53" i="4" s="1"/>
  <c r="E36" i="5"/>
  <c r="F36" i="5" s="1"/>
  <c r="G36" i="5" s="1"/>
  <c r="H36" i="5" s="1"/>
  <c r="I36" i="5" s="1"/>
  <c r="E41" i="5"/>
  <c r="F41" i="5" s="1"/>
  <c r="E38" i="5"/>
  <c r="F38" i="5" s="1"/>
  <c r="G38" i="5" s="1"/>
  <c r="H38" i="5" s="1"/>
  <c r="I38" i="5" s="1"/>
  <c r="G24" i="5"/>
  <c r="K110" i="4"/>
  <c r="K259" i="4" s="1"/>
  <c r="K269" i="4" s="1"/>
  <c r="J193" i="4" l="1"/>
  <c r="J194" i="4" s="1"/>
  <c r="J203" i="4" s="1"/>
  <c r="J251" i="4" s="1"/>
  <c r="L108" i="4"/>
  <c r="L110" i="4" s="1"/>
  <c r="L259" i="4" s="1"/>
  <c r="L269" i="4" s="1"/>
  <c r="G41" i="5"/>
  <c r="H41" i="5" s="1"/>
  <c r="I41" i="5" s="1"/>
  <c r="F52" i="5"/>
  <c r="G52" i="5" s="1"/>
  <c r="H52" i="5" s="1"/>
  <c r="I52" i="5" s="1"/>
  <c r="M198" i="4"/>
  <c r="M205" i="4"/>
  <c r="R67" i="3"/>
  <c r="R66" i="3"/>
  <c r="R65" i="3"/>
  <c r="T119" i="4"/>
  <c r="T258" i="4" s="1"/>
  <c r="T268" i="4" s="1"/>
  <c r="R334" i="4"/>
  <c r="R337" i="4" s="1"/>
  <c r="R344" i="4" s="1"/>
  <c r="S323" i="4"/>
  <c r="N95" i="4"/>
  <c r="N102" i="4" s="1"/>
  <c r="N28" i="4"/>
  <c r="N54" i="4"/>
  <c r="N55" i="4" s="1"/>
  <c r="N69" i="4"/>
  <c r="N31" i="4"/>
  <c r="N32" i="4"/>
  <c r="L227" i="4"/>
  <c r="L215" i="4"/>
  <c r="L256" i="4"/>
  <c r="O214" i="4"/>
  <c r="O221" i="4" s="1"/>
  <c r="L76" i="4"/>
  <c r="L79" i="4"/>
  <c r="N43" i="4"/>
  <c r="P19" i="4"/>
  <c r="Q14" i="4"/>
  <c r="Q292" i="4"/>
  <c r="Q295" i="4" s="1"/>
  <c r="Q302" i="4" s="1"/>
  <c r="R281" i="4"/>
  <c r="N96" i="4"/>
  <c r="N70" i="4"/>
  <c r="M71" i="4"/>
  <c r="M75" i="4" s="1"/>
  <c r="K199" i="4"/>
  <c r="K193" i="4" s="1"/>
  <c r="K194" i="4" s="1"/>
  <c r="K203" i="4" s="1"/>
  <c r="P50" i="4"/>
  <c r="P51" i="4" s="1"/>
  <c r="Q25" i="4"/>
  <c r="O42" i="4"/>
  <c r="O53" i="4" s="1"/>
  <c r="O27" i="4"/>
  <c r="O30" i="4" s="1"/>
  <c r="J228" i="4"/>
  <c r="J229" i="4" s="1"/>
  <c r="J238" i="4" s="1"/>
  <c r="J235" i="4"/>
  <c r="K232" i="4" s="1"/>
  <c r="K234" i="4" s="1"/>
  <c r="K228" i="4" s="1"/>
  <c r="K229" i="4" s="1"/>
  <c r="K238" i="4" s="1"/>
  <c r="N198" i="4"/>
  <c r="N205" i="4"/>
  <c r="P46" i="4"/>
  <c r="P47" i="4" s="1"/>
  <c r="Q22" i="4"/>
  <c r="N30" i="4"/>
  <c r="L180" i="4"/>
  <c r="L192" i="4"/>
  <c r="M169" i="4"/>
  <c r="M103" i="4"/>
  <c r="M106" i="4" s="1"/>
  <c r="M104" i="4"/>
  <c r="M107" i="4" s="1"/>
  <c r="J204" i="4" l="1"/>
  <c r="J82" i="4" s="1"/>
  <c r="J265" i="4" s="1"/>
  <c r="J81" i="4"/>
  <c r="R64" i="3"/>
  <c r="M108" i="4"/>
  <c r="O43" i="4"/>
  <c r="K200" i="4"/>
  <c r="L197" i="4" s="1"/>
  <c r="L199" i="4" s="1"/>
  <c r="L193" i="4" s="1"/>
  <c r="L194" i="4" s="1"/>
  <c r="L203" i="4" s="1"/>
  <c r="M110" i="4"/>
  <c r="M259" i="4" s="1"/>
  <c r="M269" i="4" s="1"/>
  <c r="K250" i="4"/>
  <c r="K239" i="4"/>
  <c r="P214" i="4"/>
  <c r="P221" i="4" s="1"/>
  <c r="M256" i="4"/>
  <c r="M79" i="4"/>
  <c r="M76" i="4"/>
  <c r="O179" i="4"/>
  <c r="O186" i="4" s="1"/>
  <c r="K251" i="4"/>
  <c r="K81" i="4"/>
  <c r="K204" i="4"/>
  <c r="K82" i="4" s="1"/>
  <c r="K265" i="4" s="1"/>
  <c r="S334" i="4"/>
  <c r="T323" i="4"/>
  <c r="O96" i="4"/>
  <c r="O70" i="4"/>
  <c r="N103" i="4"/>
  <c r="N106" i="4" s="1"/>
  <c r="N104" i="4"/>
  <c r="N107" i="4" s="1"/>
  <c r="K235" i="4"/>
  <c r="L232" i="4" s="1"/>
  <c r="L234" i="4" s="1"/>
  <c r="L228" i="4" s="1"/>
  <c r="L229" i="4" s="1"/>
  <c r="L238" i="4" s="1"/>
  <c r="J250" i="4"/>
  <c r="J239" i="4"/>
  <c r="R22" i="4"/>
  <c r="Q46" i="4"/>
  <c r="Q47" i="4" s="1"/>
  <c r="N71" i="4"/>
  <c r="N75" i="4" s="1"/>
  <c r="Q50" i="4"/>
  <c r="Q51" i="4" s="1"/>
  <c r="R25" i="4"/>
  <c r="O233" i="4"/>
  <c r="O240" i="4"/>
  <c r="S281" i="4"/>
  <c r="R292" i="4"/>
  <c r="R295" i="4" s="1"/>
  <c r="R302" i="4" s="1"/>
  <c r="M188" i="4"/>
  <c r="M189" i="4" s="1"/>
  <c r="M223" i="4"/>
  <c r="M224" i="4" s="1"/>
  <c r="R14" i="4"/>
  <c r="Q19" i="4"/>
  <c r="M170" i="4"/>
  <c r="N167" i="4" s="1"/>
  <c r="O54" i="4"/>
  <c r="O55" i="4" s="1"/>
  <c r="O69" i="4"/>
  <c r="O28" i="4"/>
  <c r="O95" i="4"/>
  <c r="O102" i="4" s="1"/>
  <c r="O31" i="4"/>
  <c r="O32" i="4"/>
  <c r="P27" i="4"/>
  <c r="P30" i="4" s="1"/>
  <c r="P42" i="4"/>
  <c r="P53" i="4" s="1"/>
  <c r="J83" i="4" l="1"/>
  <c r="J85" i="4" s="1"/>
  <c r="P43" i="4"/>
  <c r="L200" i="4"/>
  <c r="M197" i="4" s="1"/>
  <c r="L250" i="4"/>
  <c r="L239" i="4"/>
  <c r="Q42" i="4"/>
  <c r="Q53" i="4" s="1"/>
  <c r="Q27" i="4"/>
  <c r="Q30" i="4" s="1"/>
  <c r="P179" i="4"/>
  <c r="P186" i="4" s="1"/>
  <c r="S14" i="4"/>
  <c r="R19" i="4"/>
  <c r="S22" i="4"/>
  <c r="R46" i="4"/>
  <c r="R47" i="4" s="1"/>
  <c r="M192" i="4"/>
  <c r="M180" i="4"/>
  <c r="O103" i="4"/>
  <c r="O106" i="4" s="1"/>
  <c r="O104" i="4"/>
  <c r="O107" i="4" s="1"/>
  <c r="T281" i="4"/>
  <c r="S292" i="4"/>
  <c r="N256" i="4"/>
  <c r="Q214" i="4"/>
  <c r="Q221" i="4" s="1"/>
  <c r="N79" i="4"/>
  <c r="N76" i="4"/>
  <c r="K252" i="4"/>
  <c r="K267" i="4" s="1"/>
  <c r="K257" i="4"/>
  <c r="K260" i="4" s="1"/>
  <c r="L235" i="4"/>
  <c r="M232" i="4" s="1"/>
  <c r="S25" i="4"/>
  <c r="R50" i="4"/>
  <c r="R51" i="4" s="1"/>
  <c r="N108" i="4"/>
  <c r="M227" i="4"/>
  <c r="M215" i="4"/>
  <c r="H24" i="5"/>
  <c r="J263" i="4"/>
  <c r="O198" i="4"/>
  <c r="O205" i="4"/>
  <c r="P233" i="4"/>
  <c r="P240" i="4"/>
  <c r="K83" i="4"/>
  <c r="K85" i="4" s="1"/>
  <c r="K263" i="4" s="1"/>
  <c r="O71" i="4"/>
  <c r="O75" i="4" s="1"/>
  <c r="P96" i="4"/>
  <c r="P70" i="4"/>
  <c r="N169" i="4"/>
  <c r="L251" i="4"/>
  <c r="L81" i="4"/>
  <c r="L204" i="4"/>
  <c r="L82" i="4" s="1"/>
  <c r="L265" i="4" s="1"/>
  <c r="P69" i="4"/>
  <c r="P54" i="4"/>
  <c r="P55" i="4" s="1"/>
  <c r="P95" i="4"/>
  <c r="P102" i="4" s="1"/>
  <c r="P28" i="4"/>
  <c r="P31" i="4"/>
  <c r="P32" i="4"/>
  <c r="J257" i="4"/>
  <c r="J260" i="4" s="1"/>
  <c r="J252" i="4"/>
  <c r="J267" i="4" s="1"/>
  <c r="O108" i="4" l="1"/>
  <c r="K270" i="4"/>
  <c r="P71" i="4"/>
  <c r="P75" i="4" s="1"/>
  <c r="S214" i="4" s="1"/>
  <c r="S221" i="4" s="1"/>
  <c r="P76" i="4"/>
  <c r="P256" i="4"/>
  <c r="O256" i="4"/>
  <c r="R214" i="4"/>
  <c r="R221" i="4" s="1"/>
  <c r="O79" i="4"/>
  <c r="O76" i="4"/>
  <c r="Q179" i="4"/>
  <c r="Q186" i="4" s="1"/>
  <c r="L83" i="4"/>
  <c r="L85" i="4" s="1"/>
  <c r="L263" i="4" s="1"/>
  <c r="J270" i="4"/>
  <c r="J272" i="4" s="1"/>
  <c r="Q69" i="4"/>
  <c r="Q95" i="4"/>
  <c r="Q102" i="4" s="1"/>
  <c r="Q54" i="4"/>
  <c r="Q55" i="4" s="1"/>
  <c r="Q28" i="4"/>
  <c r="Q31" i="4"/>
  <c r="Q32" i="4"/>
  <c r="K272" i="4"/>
  <c r="T22" i="4"/>
  <c r="S46" i="4"/>
  <c r="S47" i="4" s="1"/>
  <c r="Q43" i="4"/>
  <c r="O110" i="4"/>
  <c r="O259" i="4" s="1"/>
  <c r="O269" i="4" s="1"/>
  <c r="N110" i="4"/>
  <c r="N259" i="4" s="1"/>
  <c r="N269" i="4" s="1"/>
  <c r="R27" i="4"/>
  <c r="R42" i="4"/>
  <c r="R53" i="4" s="1"/>
  <c r="R30" i="4"/>
  <c r="K284" i="4"/>
  <c r="K287" i="4" s="1"/>
  <c r="K326" i="4"/>
  <c r="K329" i="4" s="1"/>
  <c r="Q233" i="4"/>
  <c r="Q240" i="4"/>
  <c r="P198" i="4"/>
  <c r="P205" i="4"/>
  <c r="S50" i="4"/>
  <c r="S51" i="4" s="1"/>
  <c r="T25" i="4"/>
  <c r="N188" i="4"/>
  <c r="N189" i="4" s="1"/>
  <c r="N223" i="4"/>
  <c r="N224" i="4" s="1"/>
  <c r="M234" i="4"/>
  <c r="M228" i="4" s="1"/>
  <c r="M229" i="4" s="1"/>
  <c r="M238" i="4" s="1"/>
  <c r="Q70" i="4"/>
  <c r="Q96" i="4"/>
  <c r="N170" i="4"/>
  <c r="O167" i="4" s="1"/>
  <c r="P104" i="4"/>
  <c r="P107" i="4" s="1"/>
  <c r="P103" i="4"/>
  <c r="P106" i="4" s="1"/>
  <c r="M199" i="4"/>
  <c r="T14" i="4"/>
  <c r="T19" i="4" s="1"/>
  <c r="S19" i="4"/>
  <c r="L252" i="4"/>
  <c r="L267" i="4" s="1"/>
  <c r="L257" i="4"/>
  <c r="L260" i="4" s="1"/>
  <c r="P108" i="4" l="1"/>
  <c r="R43" i="4"/>
  <c r="P79" i="4"/>
  <c r="M250" i="4"/>
  <c r="M239" i="4"/>
  <c r="Q103" i="4"/>
  <c r="Q104" i="4"/>
  <c r="Q107" i="4" s="1"/>
  <c r="Q106" i="4"/>
  <c r="Q108" i="4" s="1"/>
  <c r="Q110" i="4" s="1"/>
  <c r="Q259" i="4" s="1"/>
  <c r="Q269" i="4" s="1"/>
  <c r="R179" i="4"/>
  <c r="R186" i="4" s="1"/>
  <c r="S42" i="4"/>
  <c r="S53" i="4" s="1"/>
  <c r="S27" i="4"/>
  <c r="S30" i="4" s="1"/>
  <c r="M193" i="4"/>
  <c r="M194" i="4" s="1"/>
  <c r="M203" i="4" s="1"/>
  <c r="M200" i="4"/>
  <c r="N197" i="4" s="1"/>
  <c r="R70" i="4"/>
  <c r="R96" i="4"/>
  <c r="R28" i="4"/>
  <c r="R95" i="4"/>
  <c r="R102" i="4" s="1"/>
  <c r="R54" i="4"/>
  <c r="R55" i="4" s="1"/>
  <c r="R69" i="4"/>
  <c r="R32" i="4"/>
  <c r="R31" i="4"/>
  <c r="L270" i="4"/>
  <c r="L272" i="4" s="1"/>
  <c r="P110" i="4"/>
  <c r="P259" i="4" s="1"/>
  <c r="P269" i="4" s="1"/>
  <c r="S179" i="4"/>
  <c r="S186" i="4" s="1"/>
  <c r="K336" i="4"/>
  <c r="K331" i="4"/>
  <c r="K294" i="4"/>
  <c r="K289" i="4"/>
  <c r="Q71" i="4"/>
  <c r="Q75" i="4" s="1"/>
  <c r="T46" i="4"/>
  <c r="T47" i="4" s="1"/>
  <c r="M235" i="4"/>
  <c r="N232" i="4" s="1"/>
  <c r="R233" i="4"/>
  <c r="R240" i="4"/>
  <c r="T42" i="4"/>
  <c r="T43" i="4" s="1"/>
  <c r="T27" i="4"/>
  <c r="T30" i="4" s="1"/>
  <c r="N227" i="4"/>
  <c r="N215" i="4"/>
  <c r="J326" i="4"/>
  <c r="J329" i="4" s="1"/>
  <c r="J284" i="4"/>
  <c r="J287" i="4" s="1"/>
  <c r="N180" i="4"/>
  <c r="N192" i="4"/>
  <c r="T50" i="4"/>
  <c r="T51" i="4" s="1"/>
  <c r="T32" i="4"/>
  <c r="O169" i="4"/>
  <c r="Q198" i="4"/>
  <c r="Q205" i="4"/>
  <c r="S233" i="4"/>
  <c r="S240" i="4"/>
  <c r="N234" i="4" l="1"/>
  <c r="N228" i="4" s="1"/>
  <c r="S43" i="4"/>
  <c r="T53" i="4"/>
  <c r="T54" i="4" s="1"/>
  <c r="T55" i="4" s="1"/>
  <c r="R71" i="4"/>
  <c r="R75" i="4" s="1"/>
  <c r="K296" i="4"/>
  <c r="K301" i="4"/>
  <c r="K303" i="4" s="1"/>
  <c r="R198" i="4"/>
  <c r="R205" i="4"/>
  <c r="T31" i="4"/>
  <c r="S198" i="4"/>
  <c r="S205" i="4"/>
  <c r="S69" i="4"/>
  <c r="S28" i="4"/>
  <c r="S95" i="4"/>
  <c r="S102" i="4" s="1"/>
  <c r="S54" i="4"/>
  <c r="S55" i="4" s="1"/>
  <c r="S31" i="4"/>
  <c r="S32" i="4"/>
  <c r="N229" i="4"/>
  <c r="N238" i="4" s="1"/>
  <c r="R104" i="4"/>
  <c r="R107" i="4" s="1"/>
  <c r="R103" i="4"/>
  <c r="R106" i="4" s="1"/>
  <c r="T95" i="4"/>
  <c r="T102" i="4" s="1"/>
  <c r="T69" i="4"/>
  <c r="T28" i="4"/>
  <c r="K338" i="4"/>
  <c r="K343" i="4"/>
  <c r="K345" i="4" s="1"/>
  <c r="M251" i="4"/>
  <c r="M81" i="4"/>
  <c r="M204" i="4"/>
  <c r="M82" i="4" s="1"/>
  <c r="M265" i="4" s="1"/>
  <c r="N199" i="4"/>
  <c r="N193" i="4" s="1"/>
  <c r="N194" i="4" s="1"/>
  <c r="N203" i="4" s="1"/>
  <c r="O223" i="4"/>
  <c r="O224" i="4" s="1"/>
  <c r="O188" i="4"/>
  <c r="O189" i="4" s="1"/>
  <c r="J294" i="4"/>
  <c r="J289" i="4"/>
  <c r="Q256" i="4"/>
  <c r="Q79" i="4"/>
  <c r="Q76" i="4"/>
  <c r="O170" i="4"/>
  <c r="P167" i="4" s="1"/>
  <c r="J336" i="4"/>
  <c r="J331" i="4"/>
  <c r="L284" i="4"/>
  <c r="L287" i="4" s="1"/>
  <c r="L326" i="4"/>
  <c r="L329" i="4" s="1"/>
  <c r="S70" i="4"/>
  <c r="S96" i="4"/>
  <c r="M252" i="4"/>
  <c r="M267" i="4" s="1"/>
  <c r="M257" i="4"/>
  <c r="M260" i="4" s="1"/>
  <c r="N235" i="4" l="1"/>
  <c r="O232" i="4" s="1"/>
  <c r="N81" i="4"/>
  <c r="N251" i="4"/>
  <c r="N204" i="4"/>
  <c r="N82" i="4" s="1"/>
  <c r="N265" i="4" s="1"/>
  <c r="L289" i="4"/>
  <c r="L294" i="4"/>
  <c r="J296" i="4"/>
  <c r="J301" i="4"/>
  <c r="O227" i="4"/>
  <c r="O215" i="4"/>
  <c r="S104" i="4"/>
  <c r="S107" i="4" s="1"/>
  <c r="S103" i="4"/>
  <c r="S106" i="4" s="1"/>
  <c r="S108" i="4" s="1"/>
  <c r="M83" i="4"/>
  <c r="M85" i="4" s="1"/>
  <c r="M263" i="4" s="1"/>
  <c r="M270" i="4" s="1"/>
  <c r="M272" i="4" s="1"/>
  <c r="O180" i="4"/>
  <c r="O192" i="4"/>
  <c r="J343" i="4"/>
  <c r="J338" i="4"/>
  <c r="R256" i="4"/>
  <c r="R79" i="4"/>
  <c r="R76" i="4"/>
  <c r="P169" i="4"/>
  <c r="P170" i="4" s="1"/>
  <c r="Q167" i="4" s="1"/>
  <c r="R108" i="4"/>
  <c r="N250" i="4"/>
  <c r="N239" i="4"/>
  <c r="T96" i="4"/>
  <c r="T70" i="4"/>
  <c r="T71" i="4" s="1"/>
  <c r="T75" i="4" s="1"/>
  <c r="L331" i="4"/>
  <c r="L336" i="4"/>
  <c r="N200" i="4"/>
  <c r="O197" i="4" s="1"/>
  <c r="S71" i="4"/>
  <c r="S75" i="4" s="1"/>
  <c r="Q169" i="4" l="1"/>
  <c r="S110" i="4"/>
  <c r="S259" i="4" s="1"/>
  <c r="S269" i="4" s="1"/>
  <c r="R110" i="4"/>
  <c r="R259" i="4" s="1"/>
  <c r="R269" i="4" s="1"/>
  <c r="J303" i="4"/>
  <c r="T104" i="4"/>
  <c r="T107" i="4" s="1"/>
  <c r="T103" i="4"/>
  <c r="T106" i="4" s="1"/>
  <c r="T108" i="4" s="1"/>
  <c r="T110" i="4" s="1"/>
  <c r="T259" i="4" s="1"/>
  <c r="T269" i="4" s="1"/>
  <c r="L301" i="4"/>
  <c r="L303" i="4" s="1"/>
  <c r="L296" i="4"/>
  <c r="T256" i="4"/>
  <c r="H250" i="4"/>
  <c r="T250" i="4" s="1"/>
  <c r="T79" i="4"/>
  <c r="T76" i="4"/>
  <c r="S79" i="4"/>
  <c r="S76" i="4"/>
  <c r="S256" i="4"/>
  <c r="P223" i="4"/>
  <c r="P224" i="4" s="1"/>
  <c r="P188" i="4"/>
  <c r="P189" i="4" s="1"/>
  <c r="O199" i="4"/>
  <c r="O193" i="4" s="1"/>
  <c r="O194" i="4" s="1"/>
  <c r="O203" i="4" s="1"/>
  <c r="L338" i="4"/>
  <c r="L343" i="4"/>
  <c r="L345" i="4" s="1"/>
  <c r="M284" i="4"/>
  <c r="M287" i="4" s="1"/>
  <c r="M326" i="4"/>
  <c r="M329" i="4" s="1"/>
  <c r="N257" i="4"/>
  <c r="N260" i="4" s="1"/>
  <c r="N252" i="4"/>
  <c r="N267" i="4" s="1"/>
  <c r="J345" i="4"/>
  <c r="O234" i="4"/>
  <c r="N83" i="4"/>
  <c r="N85" i="4" s="1"/>
  <c r="N263" i="4" s="1"/>
  <c r="N270" i="4" l="1"/>
  <c r="P192" i="4"/>
  <c r="P180" i="4"/>
  <c r="O228" i="4"/>
  <c r="O229" i="4" s="1"/>
  <c r="O238" i="4" s="1"/>
  <c r="O235" i="4"/>
  <c r="P232" i="4" s="1"/>
  <c r="M336" i="4"/>
  <c r="M331" i="4"/>
  <c r="T327" i="4"/>
  <c r="S330" i="4" s="1"/>
  <c r="S337" i="4" s="1"/>
  <c r="S344" i="4" s="1"/>
  <c r="N350" i="4" s="1"/>
  <c r="M294" i="4"/>
  <c r="M289" i="4"/>
  <c r="O251" i="4"/>
  <c r="O81" i="4"/>
  <c r="O204" i="4"/>
  <c r="O82" i="4" s="1"/>
  <c r="O265" i="4" s="1"/>
  <c r="H251" i="4"/>
  <c r="T251" i="4" s="1"/>
  <c r="T252" i="4" s="1"/>
  <c r="T267" i="4" s="1"/>
  <c r="T81" i="4"/>
  <c r="T83" i="4" s="1"/>
  <c r="T85" i="4" s="1"/>
  <c r="T263" i="4" s="1"/>
  <c r="Q188" i="4"/>
  <c r="Q189" i="4" s="1"/>
  <c r="Q223" i="4"/>
  <c r="Q224" i="4" s="1"/>
  <c r="P215" i="4"/>
  <c r="P227" i="4"/>
  <c r="N326" i="4"/>
  <c r="N329" i="4" s="1"/>
  <c r="N284" i="4"/>
  <c r="N287" i="4" s="1"/>
  <c r="N272" i="4"/>
  <c r="O200" i="4"/>
  <c r="P197" i="4" s="1"/>
  <c r="T257" i="4"/>
  <c r="T260" i="4" s="1"/>
  <c r="Q170" i="4"/>
  <c r="R167" i="4" s="1"/>
  <c r="T270" i="4" l="1"/>
  <c r="T284" i="4"/>
  <c r="S288" i="4" s="1"/>
  <c r="S295" i="4" s="1"/>
  <c r="S302" i="4" s="1"/>
  <c r="N308" i="4" s="1"/>
  <c r="T326" i="4"/>
  <c r="T272" i="4"/>
  <c r="R169" i="4"/>
  <c r="N331" i="4"/>
  <c r="N336" i="4"/>
  <c r="M338" i="4"/>
  <c r="M343" i="4"/>
  <c r="P234" i="4"/>
  <c r="P228" i="4" s="1"/>
  <c r="P229" i="4" s="1"/>
  <c r="P238" i="4" s="1"/>
  <c r="Q215" i="4"/>
  <c r="Q227" i="4"/>
  <c r="Q180" i="4"/>
  <c r="Q192" i="4"/>
  <c r="M301" i="4"/>
  <c r="M296" i="4"/>
  <c r="P199" i="4"/>
  <c r="P193" i="4" s="1"/>
  <c r="P194" i="4" s="1"/>
  <c r="P203" i="4" s="1"/>
  <c r="N289" i="4"/>
  <c r="N294" i="4"/>
  <c r="O83" i="4"/>
  <c r="O85" i="4" s="1"/>
  <c r="O263" i="4" s="1"/>
  <c r="P235" i="4"/>
  <c r="Q232" i="4" s="1"/>
  <c r="O250" i="4"/>
  <c r="O239" i="4"/>
  <c r="P200" i="4" l="1"/>
  <c r="Q197" i="4" s="1"/>
  <c r="Q199" i="4" s="1"/>
  <c r="Q193" i="4" s="1"/>
  <c r="Q194" i="4" s="1"/>
  <c r="Q203" i="4" s="1"/>
  <c r="P250" i="4"/>
  <c r="P239" i="4"/>
  <c r="R223" i="4"/>
  <c r="R224" i="4" s="1"/>
  <c r="R188" i="4"/>
  <c r="R189" i="4" s="1"/>
  <c r="P251" i="4"/>
  <c r="P81" i="4"/>
  <c r="P204" i="4"/>
  <c r="P82" i="4" s="1"/>
  <c r="P265" i="4" s="1"/>
  <c r="N301" i="4"/>
  <c r="N303" i="4" s="1"/>
  <c r="N296" i="4"/>
  <c r="M345" i="4"/>
  <c r="O252" i="4"/>
  <c r="O267" i="4" s="1"/>
  <c r="O270" i="4" s="1"/>
  <c r="O257" i="4"/>
  <c r="O260" i="4" s="1"/>
  <c r="N338" i="4"/>
  <c r="N343" i="4"/>
  <c r="N345" i="4" s="1"/>
  <c r="Q234" i="4"/>
  <c r="Q228" i="4" s="1"/>
  <c r="Q229" i="4" s="1"/>
  <c r="Q238" i="4" s="1"/>
  <c r="R170" i="4"/>
  <c r="S167" i="4" s="1"/>
  <c r="M303" i="4"/>
  <c r="Q200" i="4" l="1"/>
  <c r="R197" i="4" s="1"/>
  <c r="O272" i="4"/>
  <c r="P83" i="4"/>
  <c r="P85" i="4" s="1"/>
  <c r="P263" i="4" s="1"/>
  <c r="Q251" i="4"/>
  <c r="Q81" i="4"/>
  <c r="Q204" i="4"/>
  <c r="Q82" i="4" s="1"/>
  <c r="Q265" i="4" s="1"/>
  <c r="Q250" i="4"/>
  <c r="Q239" i="4"/>
  <c r="R192" i="4"/>
  <c r="R180" i="4"/>
  <c r="R227" i="4"/>
  <c r="R215" i="4"/>
  <c r="Q235" i="4"/>
  <c r="R232" i="4" s="1"/>
  <c r="O284" i="4"/>
  <c r="O287" i="4" s="1"/>
  <c r="O326" i="4"/>
  <c r="O329" i="4" s="1"/>
  <c r="S169" i="4"/>
  <c r="S170" i="4" s="1"/>
  <c r="P257" i="4"/>
  <c r="P260" i="4" s="1"/>
  <c r="P252" i="4"/>
  <c r="P267" i="4" s="1"/>
  <c r="P270" i="4" l="1"/>
  <c r="P326" i="4" s="1"/>
  <c r="P329" i="4" s="1"/>
  <c r="R234" i="4"/>
  <c r="R228" i="4" s="1"/>
  <c r="R229" i="4" s="1"/>
  <c r="R238" i="4" s="1"/>
  <c r="S223" i="4"/>
  <c r="S224" i="4" s="1"/>
  <c r="S188" i="4"/>
  <c r="S189" i="4" s="1"/>
  <c r="O336" i="4"/>
  <c r="O331" i="4"/>
  <c r="O294" i="4"/>
  <c r="O289" i="4"/>
  <c r="Q83" i="4"/>
  <c r="Q85" i="4" s="1"/>
  <c r="Q263" i="4" s="1"/>
  <c r="Q257" i="4"/>
  <c r="Q260" i="4" s="1"/>
  <c r="Q252" i="4"/>
  <c r="Q267" i="4" s="1"/>
  <c r="R199" i="4"/>
  <c r="P272" i="4" l="1"/>
  <c r="P284" i="4"/>
  <c r="P287" i="4" s="1"/>
  <c r="R250" i="4"/>
  <c r="R239" i="4"/>
  <c r="Q270" i="4"/>
  <c r="O343" i="4"/>
  <c r="O338" i="4"/>
  <c r="S192" i="4"/>
  <c r="S180" i="4"/>
  <c r="R235" i="4"/>
  <c r="S232" i="4" s="1"/>
  <c r="O301" i="4"/>
  <c r="O296" i="4"/>
  <c r="P289" i="4"/>
  <c r="P294" i="4"/>
  <c r="Q272" i="4"/>
  <c r="S215" i="4"/>
  <c r="S227" i="4"/>
  <c r="R193" i="4"/>
  <c r="R194" i="4" s="1"/>
  <c r="R203" i="4" s="1"/>
  <c r="R200" i="4"/>
  <c r="S197" i="4" s="1"/>
  <c r="P336" i="4"/>
  <c r="P331" i="4"/>
  <c r="S199" i="4" l="1"/>
  <c r="S193" i="4" s="1"/>
  <c r="S194" i="4" s="1"/>
  <c r="S203" i="4" s="1"/>
  <c r="R251" i="4"/>
  <c r="R252" i="4" s="1"/>
  <c r="R267" i="4" s="1"/>
  <c r="R81" i="4"/>
  <c r="R204" i="4"/>
  <c r="R82" i="4" s="1"/>
  <c r="R265" i="4" s="1"/>
  <c r="P301" i="4"/>
  <c r="P303" i="4" s="1"/>
  <c r="P296" i="4"/>
  <c r="S234" i="4"/>
  <c r="S228" i="4" s="1"/>
  <c r="S229" i="4" s="1"/>
  <c r="S238" i="4" s="1"/>
  <c r="O345" i="4"/>
  <c r="Q326" i="4"/>
  <c r="Q329" i="4" s="1"/>
  <c r="Q284" i="4"/>
  <c r="Q287" i="4" s="1"/>
  <c r="P343" i="4"/>
  <c r="P345" i="4" s="1"/>
  <c r="P338" i="4"/>
  <c r="S200" i="4"/>
  <c r="E183" i="4" s="1"/>
  <c r="O303" i="4"/>
  <c r="R257" i="4"/>
  <c r="R260" i="4" s="1"/>
  <c r="S235" i="4" l="1"/>
  <c r="E218" i="4" s="1"/>
  <c r="R83" i="4"/>
  <c r="R85" i="4" s="1"/>
  <c r="R263" i="4" s="1"/>
  <c r="R270" i="4" s="1"/>
  <c r="Q294" i="4"/>
  <c r="Q289" i="4"/>
  <c r="S250" i="4"/>
  <c r="S239" i="4"/>
  <c r="Q336" i="4"/>
  <c r="Q331" i="4"/>
  <c r="S251" i="4"/>
  <c r="S81" i="4"/>
  <c r="S204" i="4"/>
  <c r="S82" i="4" s="1"/>
  <c r="S265" i="4" s="1"/>
  <c r="S257" i="4" l="1"/>
  <c r="S260" i="4" s="1"/>
  <c r="S252" i="4"/>
  <c r="S267" i="4" s="1"/>
  <c r="S83" i="4"/>
  <c r="S85" i="4" s="1"/>
  <c r="S263" i="4" s="1"/>
  <c r="S270" i="4" s="1"/>
  <c r="Q296" i="4"/>
  <c r="Q301" i="4"/>
  <c r="Q303" i="4" s="1"/>
  <c r="R326" i="4"/>
  <c r="R329" i="4" s="1"/>
  <c r="R284" i="4"/>
  <c r="R287" i="4" s="1"/>
  <c r="Q343" i="4"/>
  <c r="Q345" i="4" s="1"/>
  <c r="Q338" i="4"/>
  <c r="R272" i="4"/>
  <c r="R336" i="4" l="1"/>
  <c r="R331" i="4"/>
  <c r="S284" i="4"/>
  <c r="S287" i="4" s="1"/>
  <c r="S326" i="4"/>
  <c r="S329" i="4" s="1"/>
  <c r="R294" i="4"/>
  <c r="R289" i="4"/>
  <c r="S272" i="4"/>
  <c r="R296" i="4" l="1"/>
  <c r="R301" i="4"/>
  <c r="R303" i="4" s="1"/>
  <c r="S331" i="4"/>
  <c r="S336" i="4"/>
  <c r="S294" i="4"/>
  <c r="S289" i="4"/>
  <c r="R338" i="4"/>
  <c r="R343" i="4"/>
  <c r="R345" i="4" s="1"/>
  <c r="S301" i="4" l="1"/>
  <c r="S296" i="4"/>
  <c r="I308" i="4" s="1"/>
  <c r="S338" i="4"/>
  <c r="I350" i="4" s="1"/>
  <c r="S343" i="4"/>
  <c r="S345" i="4" l="1"/>
  <c r="I349" i="4" s="1"/>
  <c r="N349" i="4"/>
  <c r="S303" i="4"/>
  <c r="I307" i="4" s="1"/>
  <c r="N307" i="4"/>
  <c r="N309" i="4" l="1"/>
  <c r="G15" i="2"/>
  <c r="H15" i="2" s="1"/>
  <c r="I15" i="2" s="1"/>
  <c r="F50" i="5"/>
  <c r="D25" i="2"/>
  <c r="I312" i="4"/>
  <c r="I314" i="4" s="1"/>
  <c r="N312" i="4" s="1"/>
  <c r="N314" i="4" s="1"/>
  <c r="N351" i="4"/>
  <c r="F51" i="5"/>
  <c r="G51" i="5" s="1"/>
  <c r="H51" i="5" s="1"/>
  <c r="I51" i="5" s="1"/>
  <c r="I354" i="4"/>
  <c r="I356" i="4" s="1"/>
  <c r="N354" i="4" s="1"/>
  <c r="N356" i="4" s="1"/>
  <c r="D66" i="2"/>
  <c r="G56" i="2"/>
  <c r="H56" i="2" s="1"/>
  <c r="I56" i="2" s="1"/>
  <c r="M351" i="4" l="1"/>
  <c r="M350" i="4"/>
  <c r="F54" i="5"/>
  <c r="G54" i="5" s="1"/>
  <c r="H54" i="5" s="1"/>
  <c r="G50" i="5"/>
  <c r="H50" i="5" s="1"/>
  <c r="I50" i="5" s="1"/>
  <c r="M349" i="4"/>
  <c r="M309" i="4"/>
  <c r="M308" i="4"/>
  <c r="M307" i="4"/>
  <c r="H65" i="5" l="1"/>
  <c r="E58" i="5"/>
  <c r="I54" i="5"/>
</calcChain>
</file>

<file path=xl/sharedStrings.xml><?xml version="1.0" encoding="utf-8"?>
<sst xmlns="http://schemas.openxmlformats.org/spreadsheetml/2006/main" count="639" uniqueCount="333">
  <si>
    <t>AMIR J</t>
  </si>
  <si>
    <t>TESLA, INC. (NASDAQ: TSLA)</t>
  </si>
  <si>
    <t>Applied DCF Valuation Model</t>
  </si>
  <si>
    <t>Valuation date: 30 June 2026   |   All figures in USD millions unless stated</t>
  </si>
  <si>
    <t>Table of Contents</t>
  </si>
  <si>
    <t>Outputs</t>
  </si>
  <si>
    <t>Inputs</t>
  </si>
  <si>
    <t>Model</t>
  </si>
  <si>
    <t>Colour Convention</t>
  </si>
  <si>
    <t>Blue: hardcoded input</t>
  </si>
  <si>
    <t>Yellow fill marks key assumptions and headline outputs.</t>
  </si>
  <si>
    <t>Black: formula</t>
  </si>
  <si>
    <t>Green: link to another worksheet</t>
  </si>
  <si>
    <t>Primary Source</t>
  </si>
  <si>
    <t>Tesla Q4 and FY2025 Update and Q2 2026 Update, Tesla Investor Relations, ir.tesla.com</t>
  </si>
  <si>
    <t>Bloomberg (2026) Bloomberg Terminal. Bloomberg L.P.</t>
  </si>
  <si>
    <t xml:space="preserve"> </t>
  </si>
  <si>
    <t>Dashboard: Perpetuity Growth Method</t>
  </si>
  <si>
    <t>Model Drivers Set To</t>
  </si>
  <si>
    <t>All figures in USD millions unless stated</t>
  </si>
  <si>
    <t>Main Outputs</t>
  </si>
  <si>
    <t>Selected Inputs</t>
  </si>
  <si>
    <t>Enterprise</t>
  </si>
  <si>
    <t>Equity</t>
  </si>
  <si>
    <t>Live (Current Switch)</t>
  </si>
  <si>
    <t>Value</t>
  </si>
  <si>
    <t>Per Share</t>
  </si>
  <si>
    <t>Terminal Growth Rate</t>
  </si>
  <si>
    <t>WACC</t>
  </si>
  <si>
    <t>Best Case</t>
  </si>
  <si>
    <t>Net Debt / (Net Cash)</t>
  </si>
  <si>
    <t>(End of 2025)</t>
  </si>
  <si>
    <t>Base Case</t>
  </si>
  <si>
    <t>Shares Outstanding</t>
  </si>
  <si>
    <t>(FD, m)</t>
  </si>
  <si>
    <t>Worst Case</t>
  </si>
  <si>
    <t>Current Share Price</t>
  </si>
  <si>
    <t>(US$/sh)</t>
  </si>
  <si>
    <t>Enterprise Value</t>
  </si>
  <si>
    <t>Equity Value per Share</t>
  </si>
  <si>
    <t>Equity Value</t>
  </si>
  <si>
    <t>Premium / (Discount) to Share Price</t>
  </si>
  <si>
    <t>Dashboard: Terminal Multiple Method</t>
  </si>
  <si>
    <t>Terminal EBITDA Multiple</t>
  </si>
  <si>
    <t>Scenario Drivers</t>
  </si>
  <si>
    <t>Driver switch</t>
  </si>
  <si>
    <t>Forecast</t>
  </si>
  <si>
    <t>Term</t>
  </si>
  <si>
    <t>Vehicle Deliveries Growth</t>
  </si>
  <si>
    <t xml:space="preserve">     Best Case</t>
  </si>
  <si>
    <t xml:space="preserve">     Base Case</t>
  </si>
  <si>
    <t xml:space="preserve">     Worst Case</t>
  </si>
  <si>
    <t>Average Selling Price Change</t>
  </si>
  <si>
    <t>Energy Revenue Growth</t>
  </si>
  <si>
    <t>Services &amp; Software Revenue Growth</t>
  </si>
  <si>
    <t>Automotive Gross Margin (excl. D&amp;A)</t>
  </si>
  <si>
    <t>Energy Gross Margin (excl. D&amp;A)</t>
  </si>
  <si>
    <t>Services &amp; Software Gross Margin (excl. D&amp;A)</t>
  </si>
  <si>
    <t>Operating Expense Growth (excl. D&amp;A)</t>
  </si>
  <si>
    <t>Capital Expenditure</t>
  </si>
  <si>
    <t>Terminal capital expenditure is set equal to terminal depreciation, consistent with a steady state.</t>
  </si>
  <si>
    <t>Working Capital Assumptions</t>
  </si>
  <si>
    <t>Accounts Receivable</t>
  </si>
  <si>
    <t>(Days)</t>
  </si>
  <si>
    <t>Inventory</t>
  </si>
  <si>
    <t>Accounts Payable</t>
  </si>
  <si>
    <t>Days held at FY2025 reported levels (DSO 17, DPO 61). Terminal year equals the final forecast year.</t>
  </si>
  <si>
    <t>Source: Tesla Q4 and FY2025 Update, Balance Sheet, ir.tesla.com.</t>
  </si>
  <si>
    <t>Weighted Average Cost of Capital</t>
  </si>
  <si>
    <t>All figures in USD millions unless stated.</t>
  </si>
  <si>
    <t>Peer Company</t>
  </si>
  <si>
    <t>Region</t>
  </si>
  <si>
    <t>Debt</t>
  </si>
  <si>
    <t>Tax Rate</t>
  </si>
  <si>
    <t>Debt/Equity</t>
  </si>
  <si>
    <t>Debt/Capital</t>
  </si>
  <si>
    <t>Levered Beta</t>
  </si>
  <si>
    <t>Unlevered Beta</t>
  </si>
  <si>
    <t>BYD Company Ltd.</t>
  </si>
  <si>
    <t>China</t>
  </si>
  <si>
    <t>Li Auto Inc.</t>
  </si>
  <si>
    <t>XPeng Inc.</t>
  </si>
  <si>
    <t>NIO Inc.</t>
  </si>
  <si>
    <t>Rivian Automotive Inc.</t>
  </si>
  <si>
    <t>US</t>
  </si>
  <si>
    <t>Lucid Group Inc.</t>
  </si>
  <si>
    <t>General Motors Co.</t>
  </si>
  <si>
    <t>Ford Motor Co.</t>
  </si>
  <si>
    <t>Average</t>
  </si>
  <si>
    <t>Median</t>
  </si>
  <si>
    <t>Risk Premium for Equity</t>
  </si>
  <si>
    <t>Cost of Equity</t>
  </si>
  <si>
    <t>Market Risk Premium</t>
  </si>
  <si>
    <t>Risk Free Rate (US 10Y)</t>
  </si>
  <si>
    <t>Average Unlevered Beta</t>
  </si>
  <si>
    <t>Equity Risk Premium</t>
  </si>
  <si>
    <t>Re-levered Beta</t>
  </si>
  <si>
    <t>Company Specific Premium</t>
  </si>
  <si>
    <t>Capital Structure</t>
  </si>
  <si>
    <t>Cost of Debt</t>
  </si>
  <si>
    <t>Current</t>
  </si>
  <si>
    <t>Target</t>
  </si>
  <si>
    <t>Total Debt</t>
  </si>
  <si>
    <t>Pre-Tax Cost of Debt</t>
  </si>
  <si>
    <t>Market Capitalisation</t>
  </si>
  <si>
    <t>Marginal Tax Rate</t>
  </si>
  <si>
    <t>Total</t>
  </si>
  <si>
    <t>After-Tax Cost of Debt</t>
  </si>
  <si>
    <t>Debt / Equity</t>
  </si>
  <si>
    <t>Unlevered Beta = Levered Beta / (1 + (1 - Tax Rate) x Debt-to-Equity).</t>
  </si>
  <si>
    <t>Weight</t>
  </si>
  <si>
    <t>Cost</t>
  </si>
  <si>
    <t>Re-levered Beta = Average Unlevered Beta (peer mean, M96) x (1 + (1 - Tax Rate) x Target Debt-to-Equity).</t>
  </si>
  <si>
    <t>Debt Capital</t>
  </si>
  <si>
    <t>Peer debt excludes captive finance obligations at GM, Ford and Toyota. Betas are 5-year monthly.</t>
  </si>
  <si>
    <t>Equity Capital</t>
  </si>
  <si>
    <t>Other Inputs</t>
  </si>
  <si>
    <t>Dates</t>
  </si>
  <si>
    <t>End of FY2025 Balances</t>
  </si>
  <si>
    <t>Valuation Date</t>
  </si>
  <si>
    <t>(YYYY-MM-DD)</t>
  </si>
  <si>
    <t>Cash, Cash Equivalents and Investments</t>
  </si>
  <si>
    <t>First Expected Cash Flow</t>
  </si>
  <si>
    <t>Total Debt and Finance Leases</t>
  </si>
  <si>
    <t>First Fiscal Year End for Forecast</t>
  </si>
  <si>
    <t>First Year of Forecast</t>
  </si>
  <si>
    <t>(YYYY)</t>
  </si>
  <si>
    <t>PP&amp;E and Energy Storage Systems, Net</t>
  </si>
  <si>
    <t>Incorrect Date Set for Valuation?</t>
  </si>
  <si>
    <t>Tax Basis for PP&amp;E</t>
  </si>
  <si>
    <t>Incorrect Date Set for First Cash Flow?</t>
  </si>
  <si>
    <t>Tax Losses Carried Forward</t>
  </si>
  <si>
    <t>Days in Period</t>
  </si>
  <si>
    <t>Operating and Tax Inputs</t>
  </si>
  <si>
    <t>Valuation</t>
  </si>
  <si>
    <t>Projected Interest Expense</t>
  </si>
  <si>
    <t>(FD, millions)</t>
  </si>
  <si>
    <t>First Year Tax Depreciation</t>
  </si>
  <si>
    <t>Blended Tax Depreciation Rate</t>
  </si>
  <si>
    <t>First Year Accounting Depreciation</t>
  </si>
  <si>
    <t>Useful Life: Existing Assets</t>
  </si>
  <si>
    <t>(Years)</t>
  </si>
  <si>
    <t>Weighted Average Cost of Capital (WACC)</t>
  </si>
  <si>
    <t>Useful Life: New Assets</t>
  </si>
  <si>
    <t>Terminal Growth Greater Than or Equal To WACC?</t>
  </si>
  <si>
    <t>Balances per Tesla Q4 and FY2025 Update, Balance Sheet (31-Dec-2025), ir.tesla.com.</t>
  </si>
  <si>
    <t>Useful lives implied by FY2025 D&amp;A of $6,148m on a $45,247m asset base.</t>
  </si>
  <si>
    <t>Tesla has no material remaining US federal loss carryforwards; opening tax losses set to nil.</t>
  </si>
  <si>
    <t>Share count is FY2025 diluted weighted average per Tesla Q4-2025 (3,539m), rounded to 3,545m.</t>
  </si>
  <si>
    <t>Share price is the last close prior to the valuation cut-off used in this analysis.</t>
  </si>
  <si>
    <t>Revenue Schedule</t>
  </si>
  <si>
    <t>Vehicle Deliveries</t>
  </si>
  <si>
    <t>(Units)</t>
  </si>
  <si>
    <t>Average Selling Price</t>
  </si>
  <si>
    <t>(USD/Unit)</t>
  </si>
  <si>
    <t>Automotive Revenue</t>
  </si>
  <si>
    <t>Energy Generation and Storage Revenue</t>
  </si>
  <si>
    <t>Services and Software Revenue Growth</t>
  </si>
  <si>
    <t>Services, Software and Other Revenue</t>
  </si>
  <si>
    <t>Total Revenue</t>
  </si>
  <si>
    <t>Revenue Growth</t>
  </si>
  <si>
    <t>Memo: Automotive % of Revenue</t>
  </si>
  <si>
    <t>Memo: Energy % of Revenue</t>
  </si>
  <si>
    <t>Memo: Services and Software % of Revenue</t>
  </si>
  <si>
    <t>FY2023-FY2025 actuals per Tesla Q4 and FY2025 Update, Financial Summary, ir.tesla.com.</t>
  </si>
  <si>
    <t>Cost and Gross Profit Schedule</t>
  </si>
  <si>
    <t>Automotive Cost of Revenues (excl. D&amp;A)</t>
  </si>
  <si>
    <t>Automotive Gross Profit (excl. D&amp;A)</t>
  </si>
  <si>
    <t>Energy Generation and Storage Gross Margin (excl. D&amp;A)</t>
  </si>
  <si>
    <t>Energy Generation and Storage Cost of Revenues (excl. D&amp;A)</t>
  </si>
  <si>
    <t>Energy Generation and Storage Gross Profit (excl. D&amp;A)</t>
  </si>
  <si>
    <t>Services and Software Gross Margin (excl. D&amp;A)</t>
  </si>
  <si>
    <t>Services and Software Cost of Revenues (excl. D&amp;A)</t>
  </si>
  <si>
    <t>Services and Software Gross Profit (excl. D&amp;A)</t>
  </si>
  <si>
    <t>Total Cost of Revenues (excl. D&amp;A)</t>
  </si>
  <si>
    <t>Total Gross Profit (excl. D&amp;A)</t>
  </si>
  <si>
    <t>Gross Margin (excl. D&amp;A)</t>
  </si>
  <si>
    <t>Depreciation and amortisation is presented separately below and has been reallocated out of cost of revenues.</t>
  </si>
  <si>
    <t>Income Statement</t>
  </si>
  <si>
    <t>Interest Expense</t>
  </si>
  <si>
    <t>Depreciation and Amortisation</t>
  </si>
  <si>
    <t>Revenue</t>
  </si>
  <si>
    <t>Cost of Revenues (excl. D&amp;A)</t>
  </si>
  <si>
    <t>Gross Profit (excl. D&amp;A)</t>
  </si>
  <si>
    <t>Operating Expense Growth</t>
  </si>
  <si>
    <t>Operating Expenses (excl. D&amp;A)</t>
  </si>
  <si>
    <t>EBIT</t>
  </si>
  <si>
    <t>EBIT Margin</t>
  </si>
  <si>
    <t>Non-Operating (Income) Loss</t>
  </si>
  <si>
    <t>Assume Non-Operating Income Net 350, (Interest Expense of 350) from 2026 on</t>
  </si>
  <si>
    <t>EBT</t>
  </si>
  <si>
    <t>Current Tax</t>
  </si>
  <si>
    <t>Deferred Tax</t>
  </si>
  <si>
    <t>Total Tax</t>
  </si>
  <si>
    <t>Net Income</t>
  </si>
  <si>
    <t>Historical total tax per Tesla FY2025 reconciliation. Interest income on the $44.1bn cash balance is excluded; that balance is credited separately in the equity bridge.</t>
  </si>
  <si>
    <t>Working Capital Schedule</t>
  </si>
  <si>
    <t>Cost of Revenues</t>
  </si>
  <si>
    <t>Current Assets</t>
  </si>
  <si>
    <t>Current Liabilities</t>
  </si>
  <si>
    <t>Net Working Capital</t>
  </si>
  <si>
    <t>Cash from Working Capital Items</t>
  </si>
  <si>
    <t>Working capital per day in the terminal year is held equal to the final forecast year.</t>
  </si>
  <si>
    <t>Depreciation Schedule</t>
  </si>
  <si>
    <t>Total Depreciation</t>
  </si>
  <si>
    <t>EXISTING ASSET DEPRECIATION</t>
  </si>
  <si>
    <t>Years</t>
  </si>
  <si>
    <t>Percent of Full Year</t>
  </si>
  <si>
    <t>PP&amp;E and Energy Assets at End of 2025</t>
  </si>
  <si>
    <t>NEW ASSET DEPRECIATION</t>
  </si>
  <si>
    <t>Year</t>
  </si>
  <si>
    <t>Capex</t>
  </si>
  <si>
    <t>Per Year</t>
  </si>
  <si>
    <t>TOTAL ASSET DEPRECIATION</t>
  </si>
  <si>
    <t>Existing Assets</t>
  </si>
  <si>
    <t>New Assets</t>
  </si>
  <si>
    <t>Straight-line depreciation. All PP&amp;E and capital expenditure is assumed depreciable, with a half-year convention in the year of spend.</t>
  </si>
  <si>
    <t>Terminal-year depreciation is grown at the terminal growth rate and capital expenditure is set equal to it.</t>
  </si>
  <si>
    <t>Asset Schedule</t>
  </si>
  <si>
    <t>PROPERTY PLANT AND EQUIPMENT</t>
  </si>
  <si>
    <t>Beginning</t>
  </si>
  <si>
    <t>Accounting Depreciation</t>
  </si>
  <si>
    <t>Ending</t>
  </si>
  <si>
    <t>TAX BASIS</t>
  </si>
  <si>
    <t>Tax Depreciation</t>
  </si>
  <si>
    <t>The model assumes no asset disposals affecting the PP&amp;E or tax basis rollforward.</t>
  </si>
  <si>
    <t>Income Tax Schedule (Levered)</t>
  </si>
  <si>
    <t>Earnings Before Tax (EBT)</t>
  </si>
  <si>
    <t>Profitable Before Taxes?</t>
  </si>
  <si>
    <t>Unused Tax Losses Remaining?</t>
  </si>
  <si>
    <t>ADJUSTMENT FOR DEPRECIATION</t>
  </si>
  <si>
    <t>Add: Accounting Depreciation</t>
  </si>
  <si>
    <t>Less: Tax Depreciation</t>
  </si>
  <si>
    <t>After Adjustment</t>
  </si>
  <si>
    <t>ADJUSTMENT FOR TAX LOSSES</t>
  </si>
  <si>
    <t>Less: Use of Tax Losses</t>
  </si>
  <si>
    <t>Taxable Income</t>
  </si>
  <si>
    <t>TAX LOSSES</t>
  </si>
  <si>
    <t>Add: New Losses</t>
  </si>
  <si>
    <t>TAXES</t>
  </si>
  <si>
    <t>Current Taxes</t>
  </si>
  <si>
    <t>Deferred Taxes</t>
  </si>
  <si>
    <t>Total Taxes</t>
  </si>
  <si>
    <t>Tax losses are assumed to carry forward indefinitely with no carry-back to prior periods.</t>
  </si>
  <si>
    <t>Income Tax Schedule (Unlevered)</t>
  </si>
  <si>
    <t>Earnings Before Interest and Tax (EBIT)</t>
  </si>
  <si>
    <t>Unlevered Free Cash Flow Schedule</t>
  </si>
  <si>
    <t>TAX SHIELD FROM INTEREST</t>
  </si>
  <si>
    <t>Line Item</t>
  </si>
  <si>
    <t>Current Taxes (Unlevered)</t>
  </si>
  <si>
    <t>Current Taxes (Levered)</t>
  </si>
  <si>
    <t>Total Tax Shield</t>
  </si>
  <si>
    <t>EBITDA METHOD</t>
  </si>
  <si>
    <t>EBITDA</t>
  </si>
  <si>
    <t>Change in Working Capital</t>
  </si>
  <si>
    <t>Unlevered Free Cash Flow</t>
  </si>
  <si>
    <t>NET INCOME METHOD</t>
  </si>
  <si>
    <t>Tax Shield From Interest</t>
  </si>
  <si>
    <t>Two UFCF Methods Different?</t>
  </si>
  <si>
    <t>Discounted Cash Flow Schedule: Perpetuity Growth Method</t>
  </si>
  <si>
    <t>Discrete Forecast</t>
  </si>
  <si>
    <t>Fiscal Year End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</si>
  <si>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</si>
  <si>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</si>
  <si>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</si>
  <si>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</si>
  <si>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</si>
  <si>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</si>
  <si>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</si>
  <si>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</si>
  <si>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</si>
  <si>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Discounted Cash Flow Method</t>
  </si>
  <si>
    <t>PV of Discrete Forecast</t>
  </si>
  <si>
    <t>XNPV Function</t>
  </si>
  <si>
    <t>PV of Terminal Value</t>
  </si>
  <si>
    <t>EQUITY VALUE</t>
  </si>
  <si>
    <t>EQUITY VALUE PER SHARE</t>
  </si>
  <si>
    <t>Less: Net Debt / Add: Net Cash</t>
  </si>
  <si>
    <t>($/sh)</t>
  </si>
  <si>
    <t>The terminal value is calculated on terminal-year unlevered free cash flow and discounted from the final forecast year.</t>
  </si>
  <si>
    <t>Discounted Cash Flow Schedule: Terminal Multiple Method</t>
  </si>
  <si>
    <t>Terminal EBITDA</t>
  </si>
  <si>
    <t>A forward EBITDA multiple is applied to terminal-year EBITDA and discounted from the final forecast year.</t>
  </si>
  <si>
    <t>Relative Valuation: Peer Group Multiples</t>
  </si>
  <si>
    <t>All figures in USD millions unless stated. Multiples are on an FY2026 estimated basis.</t>
  </si>
  <si>
    <t>Peer set selected on business-model comparability: EV manufacturing, exposure to autonomy software, and scale global OEMs.</t>
  </si>
  <si>
    <t>Basis for Inclusion</t>
  </si>
  <si>
    <t>EV / Sales</t>
  </si>
  <si>
    <t>EV / EBITDA</t>
  </si>
  <si>
    <t>P / E</t>
  </si>
  <si>
    <t>China EV / vertically integrated</t>
  </si>
  <si>
    <t>China EV / premium NEV</t>
  </si>
  <si>
    <t>China EV / ADAS-led</t>
  </si>
  <si>
    <t>-</t>
  </si>
  <si>
    <t>China EV / battery swap</t>
  </si>
  <si>
    <t>US EV pure play</t>
  </si>
  <si>
    <t>US legacy OEM / EV transition</t>
  </si>
  <si>
    <t>Peer Mean</t>
  </si>
  <si>
    <t>Peer Median</t>
  </si>
  <si>
    <t>Tesla, Inc. (at market)</t>
  </si>
  <si>
    <t>Current trading multiples</t>
  </si>
  <si>
    <t>Peer multiples are analyst-compiled estimates and should be refreshed against a live data terminal before publication.</t>
  </si>
  <si>
    <t>Six of nine peers are loss-making or marginally profitable, so EV/Sales is the only multiple available across the full set.</t>
  </si>
  <si>
    <t>Implied Valuation from Peer Multiples</t>
  </si>
  <si>
    <t>Applied to Tesla FY2026 estimated metrics from the operating model, base case (switch = 2).</t>
  </si>
  <si>
    <t>Metric</t>
  </si>
  <si>
    <t>FY2026E Tesla Metric</t>
  </si>
  <si>
    <t>Value per Share</t>
  </si>
  <si>
    <t>Premium / (Discount)</t>
  </si>
  <si>
    <t>Market Enterprise Value</t>
  </si>
  <si>
    <t>Current market capitalisation</t>
  </si>
  <si>
    <t>Peer Median EV / Sales</t>
  </si>
  <si>
    <t>Peer Median EV / EBITDA</t>
  </si>
  <si>
    <t>Peer Mean EV / Sales</t>
  </si>
  <si>
    <t>Peer Mean EV / EBITDA</t>
  </si>
  <si>
    <t>Growth-Adjusted Premium Applied</t>
  </si>
  <si>
    <t>Premium to peer median EV/EBITDA to reflect Tesla's superior growth and software mix.</t>
  </si>
  <si>
    <t>Premium-Adjusted EV / EBITDA</t>
  </si>
  <si>
    <t>Tesla's FY2026E EBITDA is depressed by an elevated investment phase, which flatters the implied EV/EBITDA multiple relative to peers.</t>
  </si>
  <si>
    <t>Valuation Summary and Recommendation</t>
  </si>
  <si>
    <t>Methodology</t>
  </si>
  <si>
    <t>Weighting</t>
  </si>
  <si>
    <t>DCF - Perpetuity Growth Method</t>
  </si>
  <si>
    <t>DCF - Terminal Multiple Method</t>
  </si>
  <si>
    <t>Relative - Peer Median EV/EBITDA (premium adjusted)</t>
  </si>
  <si>
    <t>Weighted Fair Value</t>
  </si>
  <si>
    <t>Recommendation</t>
  </si>
  <si>
    <t>Threshold: BUY above +15%, SELL below -15%, otherwise HOLD.</t>
  </si>
  <si>
    <t>Valuation Range</t>
  </si>
  <si>
    <t>Low (Worst Case, Perpetuity)</t>
  </si>
  <si>
    <t>Central (Base Case, Weighted)</t>
  </si>
  <si>
    <t>High (Best Case, Perpetuity)</t>
  </si>
  <si>
    <t>The gap between the fundamental range and the market price represents the value the market ascribes to autonomy, robotics and energy optionality not underwritten in the base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</si>
</sst>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&quot;($&quot;#,##0\);\-"/>
    <numFmt numFmtId="165" formatCode="\$#,##0.00;&quot;($&quot;#,##0.00\);\-"/>
    <numFmt numFmtId="166" formatCode="0.0%"/>
    <numFmt numFmtId="167" formatCode="0.0\x"/>
    <numFmt numFmtId="168" formatCode="#,##0;\(#,##0\);\-"/>
    <numFmt numFmtId="169" formatCode="yyyy\-mm\-dd"/>
    <numFmt numFmtId="170" formatCode="_(#,##0_);\(#,##0\);_(&quot;-&quot;_);_(@\)"/>
    <numFmt numFmtId="171" formatCode="[=1]&quot;Yes&quot;_);[=0]&quot;NO&quot;_)"/>
  </numFmts>
  <fonts count="31">
    <font>
      <sz val="11"/>
      <color theme="1"/>
      <name val="Calibri"/>
      <family val="2"/>
      <charset val="1"/>
    </font>
    <font>
      <b/>
      <sz val="10"/>
      <name val="Arial"/>
      <family val="2"/>
    </font>
    <font>
      <i/>
      <sz val="9"/>
      <color rgb="FF40404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2"/>
      <color rgb="FFC00000"/>
      <name val="Arial"/>
      <family val="2"/>
    </font>
    <font>
      <b/>
      <sz val="10"/>
      <name val="Open Sans"/>
      <family val="2"/>
    </font>
    <font>
      <sz val="10"/>
      <color rgb="FF0000FF"/>
      <name val="Open Sans"/>
      <family val="2"/>
    </font>
    <font>
      <sz val="10"/>
      <color rgb="FF000000"/>
      <name val="Open Sans"/>
      <family val="2"/>
    </font>
    <font>
      <sz val="10"/>
      <color rgb="FF008000"/>
      <name val="Open Sans"/>
      <family val="2"/>
    </font>
    <font>
      <b/>
      <sz val="16"/>
      <color rgb="FFFFFFFF"/>
      <name val="Open Sans"/>
      <family val="2"/>
    </font>
    <font>
      <sz val="11"/>
      <color theme="1"/>
      <name val="Open Sans"/>
      <family val="2"/>
    </font>
    <font>
      <b/>
      <sz val="11"/>
      <color rgb="FFFFFFFF"/>
      <name val="Open Sans"/>
      <family val="2"/>
    </font>
    <font>
      <i/>
      <sz val="9"/>
      <color rgb="FF404040"/>
      <name val="Open Sans"/>
      <family val="2"/>
    </font>
    <font>
      <sz val="9"/>
      <color rgb="FF008000"/>
      <name val="Open Sans"/>
      <family val="2"/>
    </font>
    <font>
      <i/>
      <sz val="9"/>
      <name val="Open Sans"/>
      <family val="2"/>
    </font>
    <font>
      <b/>
      <sz val="9"/>
      <color rgb="FF1F3864"/>
      <name val="Open Sans"/>
      <family val="2"/>
    </font>
    <font>
      <sz val="9"/>
      <color rgb="FF0000FF"/>
      <name val="Open Sans"/>
      <family val="2"/>
    </font>
    <font>
      <b/>
      <sz val="9"/>
      <name val="Open Sans"/>
      <family val="2"/>
    </font>
    <font>
      <sz val="9"/>
      <color rgb="FF000000"/>
      <name val="Open Sans"/>
      <family val="2"/>
    </font>
    <font>
      <sz val="9"/>
      <color theme="1"/>
      <name val="Open Sans"/>
      <family val="2"/>
    </font>
    <font>
      <sz val="9"/>
      <color theme="1"/>
      <name val="Calibri"/>
      <family val="2"/>
      <charset val="1"/>
    </font>
    <font>
      <b/>
      <sz val="9"/>
      <color rgb="FFFFFFFF"/>
      <name val="Open Sans"/>
      <family val="2"/>
    </font>
    <font>
      <i/>
      <sz val="10"/>
      <color rgb="FF404040"/>
      <name val="Open Sans"/>
      <family val="2"/>
    </font>
    <font>
      <b/>
      <sz val="18"/>
      <color rgb="FF1F3864"/>
      <name val="Open Sans"/>
      <family val="2"/>
    </font>
    <font>
      <b/>
      <sz val="10"/>
      <color rgb="FFC00000"/>
      <name val="Open Sans"/>
      <family val="2"/>
    </font>
    <font>
      <sz val="13"/>
      <color rgb="FF404040"/>
      <name val="Open Sans"/>
      <family val="2"/>
    </font>
    <font>
      <u/>
      <sz val="10"/>
      <color rgb="FF0563C1"/>
      <name val="Open Sans"/>
      <family val="2"/>
    </font>
    <font>
      <b/>
      <sz val="11"/>
      <color theme="3" tint="0.39997558519241921"/>
      <name val="Open Sans"/>
      <family val="2"/>
    </font>
    <font>
      <b/>
      <i/>
      <sz val="36"/>
      <color theme="0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5" fillId="2" borderId="0" xfId="0" applyFont="1" applyFill="1"/>
    <xf numFmtId="164" fontId="1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6" fontId="4" fillId="0" borderId="0" xfId="0" applyNumberFormat="1" applyFont="1"/>
    <xf numFmtId="0" fontId="1" fillId="0" borderId="1" xfId="0" applyFont="1" applyBorder="1" applyAlignment="1">
      <alignment horizontal="center" wrapText="1"/>
    </xf>
    <xf numFmtId="166" fontId="1" fillId="0" borderId="2" xfId="0" applyNumberFormat="1" applyFont="1" applyBorder="1"/>
    <xf numFmtId="164" fontId="1" fillId="0" borderId="2" xfId="0" applyNumberFormat="1" applyFont="1" applyBorder="1"/>
    <xf numFmtId="165" fontId="1" fillId="3" borderId="2" xfId="0" applyNumberFormat="1" applyFont="1" applyFill="1" applyBorder="1"/>
    <xf numFmtId="0" fontId="1" fillId="0" borderId="1" xfId="0" applyFont="1" applyBorder="1" applyAlignment="1">
      <alignment horizontal="left" wrapText="1"/>
    </xf>
    <xf numFmtId="167" fontId="4" fillId="0" borderId="0" xfId="0" applyNumberFormat="1" applyFont="1"/>
    <xf numFmtId="0" fontId="4" fillId="0" borderId="0" xfId="0" applyFont="1" applyAlignment="1">
      <alignment horizontal="center"/>
    </xf>
    <xf numFmtId="167" fontId="1" fillId="0" borderId="2" xfId="0" applyNumberFormat="1" applyFont="1" applyBorder="1"/>
    <xf numFmtId="167" fontId="1" fillId="0" borderId="0" xfId="0" applyNumberFormat="1" applyFont="1"/>
    <xf numFmtId="165" fontId="1" fillId="0" borderId="0" xfId="0" applyNumberFormat="1" applyFont="1"/>
    <xf numFmtId="166" fontId="1" fillId="3" borderId="2" xfId="0" applyNumberFormat="1" applyFont="1" applyFill="1" applyBorder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166" fontId="9" fillId="4" borderId="0" xfId="0" applyNumberFormat="1" applyFont="1" applyFill="1"/>
    <xf numFmtId="166" fontId="8" fillId="0" borderId="0" xfId="0" applyNumberFormat="1" applyFont="1"/>
    <xf numFmtId="0" fontId="12" fillId="2" borderId="0" xfId="0" applyFont="1" applyFill="1"/>
    <xf numFmtId="0" fontId="13" fillId="2" borderId="0" xfId="0" applyFont="1" applyFill="1"/>
    <xf numFmtId="0" fontId="12" fillId="0" borderId="0" xfId="0" applyFont="1"/>
    <xf numFmtId="0" fontId="14" fillId="0" borderId="0" xfId="0" applyFont="1"/>
    <xf numFmtId="1" fontId="15" fillId="3" borderId="0" xfId="0" applyNumberFormat="1" applyFont="1" applyFill="1"/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6" fillId="0" borderId="0" xfId="0" applyFont="1"/>
    <xf numFmtId="168" fontId="8" fillId="0" borderId="0" xfId="0" applyNumberFormat="1" applyFont="1"/>
    <xf numFmtId="0" fontId="7" fillId="0" borderId="1" xfId="0" applyFont="1" applyBorder="1" applyAlignment="1">
      <alignment horizontal="center" wrapText="1"/>
    </xf>
    <xf numFmtId="2" fontId="9" fillId="0" borderId="0" xfId="0" applyNumberFormat="1" applyFont="1"/>
    <xf numFmtId="166" fontId="9" fillId="0" borderId="0" xfId="0" applyNumberFormat="1" applyFont="1"/>
    <xf numFmtId="2" fontId="8" fillId="0" borderId="0" xfId="0" applyNumberFormat="1" applyFont="1"/>
    <xf numFmtId="166" fontId="7" fillId="0" borderId="2" xfId="0" applyNumberFormat="1" applyFont="1" applyBorder="1"/>
    <xf numFmtId="2" fontId="7" fillId="0" borderId="2" xfId="0" applyNumberFormat="1" applyFont="1" applyBorder="1"/>
    <xf numFmtId="0" fontId="17" fillId="0" borderId="0" xfId="0" applyFont="1"/>
    <xf numFmtId="10" fontId="8" fillId="0" borderId="0" xfId="0" applyNumberFormat="1" applyFont="1"/>
    <xf numFmtId="10" fontId="9" fillId="0" borderId="0" xfId="0" applyNumberFormat="1" applyFont="1"/>
    <xf numFmtId="10" fontId="7" fillId="0" borderId="2" xfId="0" applyNumberFormat="1" applyFont="1" applyBorder="1"/>
    <xf numFmtId="10" fontId="7" fillId="3" borderId="2" xfId="0" applyNumberFormat="1" applyFont="1" applyFill="1" applyBorder="1"/>
    <xf numFmtId="169" fontId="8" fillId="0" borderId="0" xfId="0" applyNumberFormat="1" applyFont="1"/>
    <xf numFmtId="1" fontId="9" fillId="0" borderId="0" xfId="0" applyNumberFormat="1" applyFont="1"/>
    <xf numFmtId="166" fontId="8" fillId="3" borderId="0" xfId="0" applyNumberFormat="1" applyFont="1" applyFill="1"/>
    <xf numFmtId="167" fontId="8" fillId="3" borderId="0" xfId="0" applyNumberFormat="1" applyFont="1" applyFill="1"/>
    <xf numFmtId="164" fontId="19" fillId="0" borderId="0" xfId="0" applyNumberFormat="1" applyFont="1"/>
    <xf numFmtId="164" fontId="20" fillId="0" borderId="0" xfId="0" applyNumberFormat="1" applyFont="1"/>
    <xf numFmtId="0" fontId="21" fillId="0" borderId="0" xfId="0" applyFont="1"/>
    <xf numFmtId="0" fontId="22" fillId="0" borderId="0" xfId="0" applyFont="1"/>
    <xf numFmtId="0" fontId="21" fillId="2" borderId="0" xfId="0" applyFont="1" applyFill="1"/>
    <xf numFmtId="0" fontId="23" fillId="2" borderId="0" xfId="0" applyFont="1" applyFill="1"/>
    <xf numFmtId="0" fontId="19" fillId="0" borderId="0" xfId="0" applyFont="1"/>
    <xf numFmtId="1" fontId="18" fillId="3" borderId="0" xfId="0" applyNumberFormat="1" applyFont="1" applyFill="1"/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0" xfId="0" applyFont="1"/>
    <xf numFmtId="166" fontId="15" fillId="0" borderId="0" xfId="0" applyNumberFormat="1" applyFont="1"/>
    <xf numFmtId="10" fontId="15" fillId="0" borderId="0" xfId="0" applyNumberFormat="1" applyFont="1"/>
    <xf numFmtId="1" fontId="20" fillId="0" borderId="0" xfId="0" applyNumberFormat="1" applyFont="1"/>
    <xf numFmtId="164" fontId="15" fillId="0" borderId="0" xfId="0" applyNumberFormat="1" applyFont="1"/>
    <xf numFmtId="168" fontId="15" fillId="0" borderId="0" xfId="0" applyNumberFormat="1" applyFont="1"/>
    <xf numFmtId="166" fontId="19" fillId="0" borderId="1" xfId="0" applyNumberFormat="1" applyFont="1" applyBorder="1" applyAlignment="1">
      <alignment horizontal="center"/>
    </xf>
    <xf numFmtId="10" fontId="19" fillId="0" borderId="0" xfId="0" applyNumberFormat="1" applyFont="1"/>
    <xf numFmtId="166" fontId="20" fillId="0" borderId="0" xfId="0" applyNumberFormat="1" applyFont="1"/>
    <xf numFmtId="1" fontId="15" fillId="0" borderId="0" xfId="0" applyNumberFormat="1" applyFont="1"/>
    <xf numFmtId="167" fontId="15" fillId="0" borderId="0" xfId="0" applyNumberFormat="1" applyFont="1"/>
    <xf numFmtId="167" fontId="19" fillId="0" borderId="1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1" fontId="7" fillId="0" borderId="0" xfId="0" applyNumberFormat="1" applyFont="1"/>
    <xf numFmtId="168" fontId="9" fillId="0" borderId="0" xfId="0" applyNumberFormat="1" applyFont="1"/>
    <xf numFmtId="166" fontId="14" fillId="0" borderId="0" xfId="0" applyNumberFormat="1" applyFont="1"/>
    <xf numFmtId="1" fontId="19" fillId="0" borderId="1" xfId="0" applyNumberFormat="1" applyFont="1" applyBorder="1" applyAlignment="1">
      <alignment horizontal="center"/>
    </xf>
    <xf numFmtId="3" fontId="18" fillId="0" borderId="0" xfId="0" applyNumberFormat="1" applyFont="1"/>
    <xf numFmtId="3" fontId="20" fillId="0" borderId="0" xfId="0" applyNumberFormat="1" applyFont="1"/>
    <xf numFmtId="168" fontId="20" fillId="0" borderId="0" xfId="0" applyNumberFormat="1" applyFont="1"/>
    <xf numFmtId="0" fontId="19" fillId="0" borderId="1" xfId="0" applyFont="1" applyBorder="1"/>
    <xf numFmtId="169" fontId="15" fillId="0" borderId="0" xfId="0" applyNumberFormat="1" applyFont="1"/>
    <xf numFmtId="169" fontId="20" fillId="0" borderId="0" xfId="0" applyNumberFormat="1" applyFont="1"/>
    <xf numFmtId="2" fontId="20" fillId="0" borderId="0" xfId="0" applyNumberFormat="1" applyFont="1"/>
    <xf numFmtId="166" fontId="19" fillId="0" borderId="2" xfId="0" applyNumberFormat="1" applyFont="1" applyBorder="1"/>
    <xf numFmtId="3" fontId="19" fillId="0" borderId="2" xfId="0" applyNumberFormat="1" applyFont="1" applyBorder="1"/>
    <xf numFmtId="2" fontId="19" fillId="0" borderId="2" xfId="0" applyNumberFormat="1" applyFont="1" applyBorder="1"/>
    <xf numFmtId="2" fontId="21" fillId="0" borderId="0" xfId="0" applyNumberFormat="1" applyFont="1"/>
    <xf numFmtId="2" fontId="15" fillId="0" borderId="0" xfId="0" applyNumberFormat="1" applyFont="1"/>
    <xf numFmtId="2" fontId="12" fillId="0" borderId="0" xfId="0" applyNumberFormat="1" applyFont="1"/>
    <xf numFmtId="0" fontId="29" fillId="0" borderId="0" xfId="0" applyFont="1"/>
    <xf numFmtId="3" fontId="15" fillId="0" borderId="0" xfId="0" applyNumberFormat="1" applyFont="1"/>
    <xf numFmtId="170" fontId="18" fillId="0" borderId="0" xfId="0" applyNumberFormat="1" applyFont="1"/>
    <xf numFmtId="170" fontId="20" fillId="0" borderId="0" xfId="0" applyNumberFormat="1" applyFont="1"/>
    <xf numFmtId="170" fontId="21" fillId="0" borderId="0" xfId="0" applyNumberFormat="1" applyFont="1"/>
    <xf numFmtId="170" fontId="19" fillId="0" borderId="2" xfId="0" applyNumberFormat="1" applyFont="1" applyBorder="1"/>
    <xf numFmtId="170" fontId="19" fillId="0" borderId="0" xfId="0" applyNumberFormat="1" applyFont="1"/>
    <xf numFmtId="170" fontId="19" fillId="0" borderId="3" xfId="0" applyNumberFormat="1" applyFont="1" applyBorder="1"/>
    <xf numFmtId="170" fontId="15" fillId="0" borderId="0" xfId="0" applyNumberFormat="1" applyFont="1"/>
    <xf numFmtId="170" fontId="19" fillId="3" borderId="2" xfId="0" applyNumberFormat="1" applyFont="1" applyFill="1" applyBorder="1"/>
    <xf numFmtId="170" fontId="19" fillId="3" borderId="0" xfId="0" applyNumberFormat="1" applyFont="1" applyFill="1"/>
    <xf numFmtId="170" fontId="9" fillId="4" borderId="0" xfId="0" applyNumberFormat="1" applyFont="1" applyFill="1"/>
    <xf numFmtId="170" fontId="8" fillId="0" borderId="0" xfId="0" applyNumberFormat="1" applyFont="1"/>
    <xf numFmtId="170" fontId="10" fillId="0" borderId="0" xfId="0" applyNumberFormat="1" applyFont="1"/>
    <xf numFmtId="170" fontId="9" fillId="0" borderId="0" xfId="0" applyNumberFormat="1" applyFont="1"/>
    <xf numFmtId="170" fontId="7" fillId="0" borderId="2" xfId="0" applyNumberFormat="1" applyFont="1" applyBorder="1"/>
    <xf numFmtId="171" fontId="20" fillId="0" borderId="0" xfId="0" applyNumberFormat="1" applyFont="1"/>
    <xf numFmtId="9" fontId="8" fillId="0" borderId="0" xfId="0" applyNumberFormat="1" applyFont="1"/>
    <xf numFmtId="10" fontId="20" fillId="0" borderId="0" xfId="0" applyNumberFormat="1" applyFont="1"/>
    <xf numFmtId="0" fontId="12" fillId="5" borderId="0" xfId="0" applyFont="1" applyFill="1"/>
    <xf numFmtId="0" fontId="0" fillId="5" borderId="0" xfId="0" applyFill="1"/>
    <xf numFmtId="0" fontId="30" fillId="5" borderId="0" xfId="0" applyFont="1" applyFill="1"/>
    <xf numFmtId="170" fontId="20" fillId="0" borderId="4" xfId="0" applyNumberFormat="1" applyFont="1" applyBorder="1"/>
    <xf numFmtId="170" fontId="21" fillId="0" borderId="4" xfId="0" applyNumberFormat="1" applyFont="1" applyBorder="1"/>
    <xf numFmtId="10" fontId="2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2" fmlaLink="$G$8" fmlaRange="$E$16:$E$18" noThreeD="1" sel="2" val="0"/>
</file>

<file path=xl/ctrlProps/ctrlProp2.xml><?xml version="1.0" encoding="utf-8"?>
<formControlPr xmlns="http://schemas.microsoft.com/office/spreadsheetml/2009/9/main" objectType="Drop" dropStyle="combo" dx="22" fmlaLink="Outputs!$G$8" fmlaRange="$C$17:$C$19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6</xdr:row>
          <xdr:rowOff>180975</xdr:rowOff>
        </xdr:from>
        <xdr:to>
          <xdr:col>7</xdr:col>
          <xdr:colOff>180975</xdr:colOff>
          <xdr:row>8</xdr:row>
          <xdr:rowOff>47625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2476500</xdr:colOff>
          <xdr:row>9</xdr:row>
          <xdr:rowOff>190500</xdr:rowOff>
        </xdr:from>
        <xdr:to>
          <xdr:col>5</xdr:col>
          <xdr:colOff>381000</xdr:colOff>
          <xdr:row>11</xdr:row>
          <xdr:rowOff>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58</xdr:row>
      <xdr:rowOff>171450</xdr:rowOff>
    </xdr:from>
    <xdr:to>
      <xdr:col>9</xdr:col>
      <xdr:colOff>666750</xdr:colOff>
      <xdr:row>62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ECAA0-A99D-8174-A2B6-1A12CD1CAE44}"/>
            </a:ext>
          </a:extLst>
        </xdr:cNvPr>
        <xdr:cNvSpPr txBox="1"/>
      </xdr:nvSpPr>
      <xdr:spPr>
        <a:xfrm>
          <a:off x="1333500" y="12211050"/>
          <a:ext cx="839152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rule returns SELL at a 53 per cent discount to fair value. The recommendation is nonetheless UNDERWEIGHT: enough of the price rests on autonomy, robotaxi and Optimus optionality that a cash flow model cannot value for an outright sell to be honest. The call is therefore to hold Tesla below benchmark weight, not to short the fundamentals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showRuler="0" zoomScaleNormal="100" workbookViewId="0">
      <pane ySplit="1" topLeftCell="A2" activePane="bottomLeft" state="frozen"/>
      <selection pane="bottomLeft" activeCell="C21" sqref="C21"/>
    </sheetView>
  </sheetViews>
  <sheetFormatPr defaultColWidth="8.7109375" defaultRowHeight="16.5"/>
  <cols>
    <col min="1" max="1" width="8.7109375" style="32" customWidth="1"/>
    <col min="2" max="2" width="4" style="32" customWidth="1"/>
    <col min="3" max="3" width="34" style="32" customWidth="1"/>
    <col min="4" max="7" width="6" style="32" customWidth="1"/>
    <col min="8" max="8" width="46" style="32" customWidth="1"/>
    <col min="9" max="12" width="6" style="32" customWidth="1"/>
    <col min="13" max="13" width="12" style="32" customWidth="1"/>
  </cols>
  <sheetData>
    <row r="1" spans="1:13" s="118" customFormat="1" ht="69.75" customHeight="1">
      <c r="A1" s="117"/>
      <c r="B1" s="117"/>
      <c r="C1" s="119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4" spans="1:13" ht="23.25" customHeight="1">
      <c r="C4" s="77" t="s">
        <v>1</v>
      </c>
      <c r="M4" s="78"/>
    </row>
    <row r="6" spans="1:13" ht="16.5" customHeight="1">
      <c r="C6" s="79" t="s">
        <v>2</v>
      </c>
    </row>
    <row r="7" spans="1:13">
      <c r="C7" s="76" t="s">
        <v>3</v>
      </c>
    </row>
    <row r="11" spans="1:13">
      <c r="C11" s="23" t="s">
        <v>4</v>
      </c>
      <c r="H11" s="23"/>
    </row>
    <row r="13" spans="1:13">
      <c r="C13" s="80" t="s">
        <v>5</v>
      </c>
      <c r="E13" s="33"/>
      <c r="H13" s="25"/>
      <c r="M13" s="81"/>
    </row>
    <row r="14" spans="1:13">
      <c r="C14" s="80" t="s">
        <v>6</v>
      </c>
      <c r="E14" s="33"/>
      <c r="H14" s="25"/>
      <c r="M14" s="81"/>
    </row>
    <row r="15" spans="1:13">
      <c r="C15" s="80" t="s">
        <v>7</v>
      </c>
      <c r="E15" s="33"/>
      <c r="L15" s="81"/>
    </row>
    <row r="16" spans="1:13">
      <c r="H16" s="25"/>
      <c r="M16" s="81"/>
    </row>
    <row r="17" spans="3:13">
      <c r="H17" s="25"/>
      <c r="M17" s="81"/>
    </row>
    <row r="18" spans="3:13">
      <c r="H18" s="25"/>
      <c r="M18" s="81"/>
    </row>
    <row r="22" spans="3:13">
      <c r="C22" s="23" t="s">
        <v>8</v>
      </c>
    </row>
    <row r="23" spans="3:13">
      <c r="C23" s="24" t="s">
        <v>9</v>
      </c>
      <c r="H23" s="33" t="s">
        <v>10</v>
      </c>
    </row>
    <row r="24" spans="3:13">
      <c r="C24" s="25" t="s">
        <v>11</v>
      </c>
    </row>
    <row r="25" spans="3:13">
      <c r="C25" s="26" t="s">
        <v>12</v>
      </c>
    </row>
    <row r="29" spans="3:13">
      <c r="C29" s="23" t="s">
        <v>13</v>
      </c>
    </row>
    <row r="30" spans="3:13">
      <c r="C30" s="33" t="s">
        <v>14</v>
      </c>
    </row>
    <row r="31" spans="3:13">
      <c r="C31" s="3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4"/>
  <sheetViews>
    <sheetView showGridLines="0" zoomScaleNormal="100" workbookViewId="0">
      <pane ySplit="1" topLeftCell="A2" activePane="bottomLeft" state="frozen"/>
      <selection pane="bottomLeft" activeCell="F23" sqref="F23"/>
      <selection activeCell="D1" sqref="D1"/>
    </sheetView>
  </sheetViews>
  <sheetFormatPr defaultColWidth="8.7109375" defaultRowHeight="15.75"/>
  <cols>
    <col min="1" max="1" width="8.7109375" style="56" customWidth="1"/>
    <col min="2" max="2" width="2.42578125" style="56" customWidth="1"/>
    <col min="3" max="3" width="9" style="56" customWidth="1"/>
    <col min="4" max="9" width="13" style="56" customWidth="1"/>
    <col min="10" max="10" width="3" style="56" customWidth="1"/>
    <col min="11" max="11" width="9" style="56" customWidth="1"/>
    <col min="12" max="12" width="11" style="56" customWidth="1"/>
    <col min="13" max="17" width="13" style="56" customWidth="1"/>
    <col min="18" max="18" width="3" style="56" customWidth="1"/>
    <col min="19" max="20" width="8.7109375" style="56" customWidth="1"/>
    <col min="21" max="21" width="8.7109375" style="57" customWidth="1"/>
  </cols>
  <sheetData>
    <row r="1" spans="1:18" s="118" customFormat="1" ht="69.75" customHeight="1">
      <c r="A1" s="117"/>
      <c r="B1" s="117"/>
      <c r="C1" s="119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5" spans="1:18">
      <c r="B5" s="58" t="s">
        <v>16</v>
      </c>
      <c r="C5" s="59" t="s">
        <v>17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8" spans="1:18">
      <c r="E8" s="60" t="s">
        <v>18</v>
      </c>
      <c r="G8" s="61">
        <v>2</v>
      </c>
      <c r="M8" s="33" t="s">
        <v>19</v>
      </c>
    </row>
    <row r="11" spans="1:18">
      <c r="E11" s="60" t="s">
        <v>20</v>
      </c>
      <c r="M11" s="60" t="s">
        <v>21</v>
      </c>
    </row>
    <row r="13" spans="1:18">
      <c r="G13" s="62" t="s">
        <v>22</v>
      </c>
      <c r="H13" s="62" t="s">
        <v>23</v>
      </c>
      <c r="I13" s="62" t="s">
        <v>23</v>
      </c>
    </row>
    <row r="14" spans="1:18">
      <c r="E14" s="60" t="s">
        <v>24</v>
      </c>
      <c r="G14" s="63" t="s">
        <v>25</v>
      </c>
      <c r="H14" s="63" t="s">
        <v>25</v>
      </c>
      <c r="I14" s="63" t="s">
        <v>26</v>
      </c>
      <c r="M14" s="64" t="s">
        <v>27</v>
      </c>
      <c r="P14" s="65">
        <f>Inputs!$G$142</f>
        <v>0.03</v>
      </c>
    </row>
    <row r="15" spans="1:18">
      <c r="G15" s="108">
        <f>Model!$I$307</f>
        <v>616187.57518884819</v>
      </c>
      <c r="H15" s="104">
        <f>G15-$P$16</f>
        <v>651870.57518884819</v>
      </c>
      <c r="I15" s="108">
        <f>H15/$P$17</f>
        <v>183.88450640023927</v>
      </c>
      <c r="M15" s="64" t="s">
        <v>28</v>
      </c>
      <c r="P15" s="66">
        <f>Inputs!$M$122</f>
        <v>7.8316088316660995E-2</v>
      </c>
    </row>
    <row r="16" spans="1:18">
      <c r="E16" s="64" t="s">
        <v>29</v>
      </c>
      <c r="F16" s="67">
        <v>1</v>
      </c>
      <c r="G16" s="100">
        <v>1443710.75398458</v>
      </c>
      <c r="H16" s="101">
        <f>G16-$P$16</f>
        <v>1479393.75398458</v>
      </c>
      <c r="I16" s="101">
        <f>H16/$P$17</f>
        <v>417.31840732992384</v>
      </c>
      <c r="M16" s="64" t="s">
        <v>30</v>
      </c>
      <c r="O16" s="33" t="s">
        <v>31</v>
      </c>
      <c r="P16" s="106">
        <f>Inputs!$M$132</f>
        <v>-35683</v>
      </c>
    </row>
    <row r="17" spans="3:18">
      <c r="E17" s="64" t="s">
        <v>32</v>
      </c>
      <c r="F17" s="67">
        <v>2</v>
      </c>
      <c r="G17" s="100">
        <v>616187.57518884796</v>
      </c>
      <c r="H17" s="101">
        <f>G17-$P$16</f>
        <v>651870.57518884796</v>
      </c>
      <c r="I17" s="101">
        <f>H17/$P$17</f>
        <v>183.88450640023919</v>
      </c>
      <c r="M17" s="64" t="s">
        <v>33</v>
      </c>
      <c r="O17" s="33" t="s">
        <v>34</v>
      </c>
      <c r="P17" s="106">
        <f>Inputs!$G$140</f>
        <v>3545</v>
      </c>
    </row>
    <row r="18" spans="3:18">
      <c r="E18" s="64" t="s">
        <v>35</v>
      </c>
      <c r="F18" s="67">
        <v>3</v>
      </c>
      <c r="G18" s="100">
        <v>181365.43459295799</v>
      </c>
      <c r="H18" s="101">
        <f>G18-$P$16</f>
        <v>217048.43459295799</v>
      </c>
      <c r="I18" s="101">
        <f>H18/$P$17</f>
        <v>61.226638813246261</v>
      </c>
      <c r="M18" s="64" t="s">
        <v>36</v>
      </c>
      <c r="O18" s="33" t="s">
        <v>37</v>
      </c>
      <c r="P18" s="106">
        <f>Inputs!$G$141</f>
        <v>309.22000000000003</v>
      </c>
    </row>
    <row r="22" spans="3:18">
      <c r="E22" s="60" t="s">
        <v>38</v>
      </c>
      <c r="M22" s="60" t="s">
        <v>39</v>
      </c>
    </row>
    <row r="24" spans="3:18">
      <c r="E24" s="33" t="s">
        <v>27</v>
      </c>
      <c r="M24" s="33" t="s">
        <v>27</v>
      </c>
    </row>
    <row r="25" spans="3:18">
      <c r="D25" s="54">
        <f>Model!$I$307</f>
        <v>616187.57518884819</v>
      </c>
      <c r="E25" s="70">
        <f>F25-0.005</f>
        <v>1.9999999999999997E-2</v>
      </c>
      <c r="F25" s="70">
        <f>G25-0.005</f>
        <v>2.4999999999999998E-2</v>
      </c>
      <c r="G25" s="70">
        <f>Inputs!$G$142</f>
        <v>0.03</v>
      </c>
      <c r="H25" s="70">
        <f>G25+0.005</f>
        <v>3.4999999999999996E-2</v>
      </c>
      <c r="I25" s="70">
        <f>H25+0.005</f>
        <v>3.9999999999999994E-2</v>
      </c>
      <c r="M25" s="70">
        <f>E25</f>
        <v>1.9999999999999997E-2</v>
      </c>
      <c r="N25" s="70">
        <f>F25</f>
        <v>2.4999999999999998E-2</v>
      </c>
      <c r="O25" s="70">
        <f>G25</f>
        <v>0.03</v>
      </c>
      <c r="P25" s="70">
        <f>H25</f>
        <v>3.4999999999999996E-2</v>
      </c>
      <c r="Q25" s="70">
        <f>I25</f>
        <v>3.9999999999999994E-2</v>
      </c>
    </row>
    <row r="26" spans="3:18">
      <c r="C26" s="60" t="s">
        <v>28</v>
      </c>
      <c r="D26" s="71">
        <f>D27-0.005</f>
        <v>6.8316088316660986E-2</v>
      </c>
      <c r="E26" s="101">
        <f t="dataTable" ref="E26:I30" dt2D="1" dtr="1" r1="P14" r2="P15"/>
        <v>669146.15963028709</v>
      </c>
      <c r="F26" s="101">
        <v>727940.15685946005</v>
      </c>
      <c r="G26" s="101">
        <v>802078.62159880123</v>
      </c>
      <c r="H26" s="101">
        <v>898470.13838755246</v>
      </c>
      <c r="I26" s="101">
        <v>1028902.909642951</v>
      </c>
      <c r="K26" s="60" t="s">
        <v>28</v>
      </c>
      <c r="L26" s="71">
        <f>D26</f>
        <v>6.8316088316660986E-2</v>
      </c>
      <c r="M26" s="102">
        <f t="shared" ref="M26:Q30" si="0">E39/$P$17</f>
        <v>198.82345828781018</v>
      </c>
      <c r="N26" s="102">
        <f t="shared" si="0"/>
        <v>215.40850687149791</v>
      </c>
      <c r="O26" s="102">
        <f t="shared" si="0"/>
        <v>236.32203712236989</v>
      </c>
      <c r="P26" s="102">
        <f t="shared" si="0"/>
        <v>263.51287401623483</v>
      </c>
      <c r="Q26" s="102">
        <f t="shared" si="0"/>
        <v>300.30632147897069</v>
      </c>
      <c r="R26" s="102"/>
    </row>
    <row r="27" spans="3:18">
      <c r="D27" s="71">
        <f>D28-0.005</f>
        <v>7.3316088316660991E-2</v>
      </c>
      <c r="E27" s="101">
        <v>596351.68314823508</v>
      </c>
      <c r="F27" s="101">
        <v>642045.68234071322</v>
      </c>
      <c r="G27" s="101">
        <v>698288.64866485703</v>
      </c>
      <c r="H27" s="101">
        <v>769210.29665904166</v>
      </c>
      <c r="I27" s="101">
        <v>861419.4521541344</v>
      </c>
      <c r="L27" s="71">
        <f>D27</f>
        <v>7.3316088316660991E-2</v>
      </c>
      <c r="M27" s="102">
        <f t="shared" si="0"/>
        <v>178.28905025338085</v>
      </c>
      <c r="N27" s="102">
        <f t="shared" si="0"/>
        <v>191.1787538337696</v>
      </c>
      <c r="O27" s="102">
        <f t="shared" si="0"/>
        <v>207.04418862196249</v>
      </c>
      <c r="P27" s="102">
        <f t="shared" si="0"/>
        <v>227.05029524937706</v>
      </c>
      <c r="Q27" s="102">
        <f t="shared" si="0"/>
        <v>253.06134052302804</v>
      </c>
      <c r="R27" s="102"/>
    </row>
    <row r="28" spans="3:18">
      <c r="D28" s="71">
        <f>Inputs!$M$122</f>
        <v>7.8316088316660995E-2</v>
      </c>
      <c r="E28" s="101">
        <v>536243.95239625452</v>
      </c>
      <c r="F28" s="101">
        <v>572467.19439649093</v>
      </c>
      <c r="G28" s="120">
        <v>616187.57518884819</v>
      </c>
      <c r="H28" s="101">
        <v>670001.29138876603</v>
      </c>
      <c r="I28" s="101">
        <v>737859.68661624438</v>
      </c>
      <c r="L28" s="71">
        <f>D28</f>
        <v>7.8316088316660995E-2</v>
      </c>
      <c r="M28" s="102">
        <f t="shared" si="0"/>
        <v>161.33341393406334</v>
      </c>
      <c r="N28" s="102">
        <f t="shared" si="0"/>
        <v>171.55153579590717</v>
      </c>
      <c r="O28" s="121">
        <f t="shared" si="0"/>
        <v>183.88450640023927</v>
      </c>
      <c r="P28" s="102">
        <f t="shared" si="0"/>
        <v>199.06468022250098</v>
      </c>
      <c r="Q28" s="102">
        <f t="shared" si="0"/>
        <v>218.20668169710703</v>
      </c>
      <c r="R28" s="102"/>
    </row>
    <row r="29" spans="3:18">
      <c r="D29" s="71">
        <f>D28+0.005</f>
        <v>8.3316088316660999E-2</v>
      </c>
      <c r="E29" s="101">
        <v>485811.69015975099</v>
      </c>
      <c r="F29" s="101">
        <v>515002.42268563737</v>
      </c>
      <c r="G29" s="101">
        <v>549668.18787943327</v>
      </c>
      <c r="H29" s="101">
        <v>591508.74027177028</v>
      </c>
      <c r="I29" s="101">
        <v>643008.64881059562</v>
      </c>
      <c r="L29" s="71">
        <f>D29</f>
        <v>8.3316088316660999E-2</v>
      </c>
      <c r="M29" s="102">
        <f t="shared" si="0"/>
        <v>147.1071058278564</v>
      </c>
      <c r="N29" s="102">
        <f t="shared" si="0"/>
        <v>155.34144504531378</v>
      </c>
      <c r="O29" s="102">
        <f t="shared" si="0"/>
        <v>165.12022225089797</v>
      </c>
      <c r="P29" s="102">
        <f t="shared" si="0"/>
        <v>176.92291686086608</v>
      </c>
      <c r="Q29" s="102">
        <f t="shared" si="0"/>
        <v>191.45039458690991</v>
      </c>
      <c r="R29" s="102"/>
    </row>
    <row r="30" spans="3:18">
      <c r="D30" s="71">
        <f>D29+0.005</f>
        <v>8.8316088316661004E-2</v>
      </c>
      <c r="E30" s="101">
        <v>442925.38535637024</v>
      </c>
      <c r="F30" s="101">
        <v>466776.66868879471</v>
      </c>
      <c r="G30" s="101">
        <v>494717.95257182384</v>
      </c>
      <c r="H30" s="101">
        <v>527899.92172738782</v>
      </c>
      <c r="I30" s="101">
        <v>567949.57622579054</v>
      </c>
      <c r="L30" s="71">
        <f>D30</f>
        <v>8.8316088316661004E-2</v>
      </c>
      <c r="M30" s="102">
        <f t="shared" si="0"/>
        <v>135.00941758994929</v>
      </c>
      <c r="N30" s="102">
        <f t="shared" si="0"/>
        <v>141.7375652154569</v>
      </c>
      <c r="O30" s="102">
        <f t="shared" si="0"/>
        <v>149.61945065495735</v>
      </c>
      <c r="P30" s="102">
        <f t="shared" si="0"/>
        <v>158.97966762408683</v>
      </c>
      <c r="Q30" s="102">
        <f t="shared" si="0"/>
        <v>170.27717241912285</v>
      </c>
      <c r="R30" s="102"/>
    </row>
    <row r="35" spans="2:18">
      <c r="E35" s="60" t="s">
        <v>40</v>
      </c>
      <c r="M35" s="60" t="s">
        <v>41</v>
      </c>
    </row>
    <row r="37" spans="2:18">
      <c r="E37" s="33" t="s">
        <v>27</v>
      </c>
      <c r="M37" s="33" t="s">
        <v>27</v>
      </c>
    </row>
    <row r="38" spans="2:18">
      <c r="E38" s="70">
        <f>E25</f>
        <v>1.9999999999999997E-2</v>
      </c>
      <c r="F38" s="70">
        <f>F25</f>
        <v>2.4999999999999998E-2</v>
      </c>
      <c r="G38" s="70">
        <f>G25</f>
        <v>0.03</v>
      </c>
      <c r="H38" s="70">
        <f>H25</f>
        <v>3.4999999999999996E-2</v>
      </c>
      <c r="I38" s="70">
        <f>I25</f>
        <v>3.9999999999999994E-2</v>
      </c>
      <c r="M38" s="70">
        <f>E38</f>
        <v>1.9999999999999997E-2</v>
      </c>
      <c r="N38" s="70">
        <f>F38</f>
        <v>2.4999999999999998E-2</v>
      </c>
      <c r="O38" s="70">
        <f>G38</f>
        <v>0.03</v>
      </c>
      <c r="P38" s="70">
        <f>H38</f>
        <v>3.4999999999999996E-2</v>
      </c>
      <c r="Q38" s="70">
        <f>I38</f>
        <v>3.9999999999999994E-2</v>
      </c>
    </row>
    <row r="39" spans="2:18">
      <c r="C39" s="60" t="s">
        <v>28</v>
      </c>
      <c r="D39" s="71">
        <f>D40-0.005</f>
        <v>6.8316088316660986E-2</v>
      </c>
      <c r="E39" s="101">
        <f t="shared" ref="E39:I43" si="1">E26-$P$16</f>
        <v>704829.15963028709</v>
      </c>
      <c r="F39" s="101">
        <f t="shared" si="1"/>
        <v>763623.15685946005</v>
      </c>
      <c r="G39" s="101">
        <f t="shared" si="1"/>
        <v>837761.62159880123</v>
      </c>
      <c r="H39" s="101">
        <f t="shared" si="1"/>
        <v>934153.13838755246</v>
      </c>
      <c r="I39" s="101">
        <f t="shared" si="1"/>
        <v>1064585.9096429511</v>
      </c>
      <c r="K39" s="60" t="s">
        <v>28</v>
      </c>
      <c r="L39" s="71">
        <f>D39</f>
        <v>6.8316088316660986E-2</v>
      </c>
      <c r="M39" s="116">
        <f t="shared" ref="M39:Q43" si="2">M26/$P$18-1</f>
        <v>-0.35701617525447849</v>
      </c>
      <c r="N39" s="116">
        <f t="shared" si="2"/>
        <v>-0.30338106567654777</v>
      </c>
      <c r="O39" s="116">
        <f t="shared" si="2"/>
        <v>-0.23574789107311989</v>
      </c>
      <c r="P39" s="116">
        <f t="shared" si="2"/>
        <v>-0.14781426163820321</v>
      </c>
      <c r="Q39" s="116">
        <f t="shared" si="2"/>
        <v>-2.8826332452717596E-2</v>
      </c>
    </row>
    <row r="40" spans="2:18">
      <c r="D40" s="71">
        <f>D41-0.005</f>
        <v>7.3316088316660991E-2</v>
      </c>
      <c r="E40" s="101">
        <f t="shared" si="1"/>
        <v>632034.68314823508</v>
      </c>
      <c r="F40" s="101">
        <f t="shared" si="1"/>
        <v>677728.68234071322</v>
      </c>
      <c r="G40" s="101">
        <f t="shared" si="1"/>
        <v>733971.64866485703</v>
      </c>
      <c r="H40" s="101">
        <f t="shared" si="1"/>
        <v>804893.29665904166</v>
      </c>
      <c r="I40" s="101">
        <f t="shared" si="1"/>
        <v>897102.4521541344</v>
      </c>
      <c r="L40" s="71">
        <f>D40</f>
        <v>7.3316088316660991E-2</v>
      </c>
      <c r="M40" s="116">
        <f t="shared" si="2"/>
        <v>-0.4234232900414564</v>
      </c>
      <c r="N40" s="116">
        <f t="shared" si="2"/>
        <v>-0.38173871730881059</v>
      </c>
      <c r="O40" s="116">
        <f t="shared" si="2"/>
        <v>-0.33043079806622322</v>
      </c>
      <c r="P40" s="116">
        <f t="shared" si="2"/>
        <v>-0.26573218016500533</v>
      </c>
      <c r="Q40" s="116">
        <f t="shared" si="2"/>
        <v>-0.18161393013702865</v>
      </c>
    </row>
    <row r="41" spans="2:18">
      <c r="D41" s="71">
        <f>D28</f>
        <v>7.8316088316660995E-2</v>
      </c>
      <c r="E41" s="101">
        <f t="shared" si="1"/>
        <v>571926.95239625452</v>
      </c>
      <c r="F41" s="101">
        <f t="shared" si="1"/>
        <v>608150.19439649093</v>
      </c>
      <c r="G41" s="120">
        <f t="shared" si="1"/>
        <v>651870.57518884819</v>
      </c>
      <c r="H41" s="101">
        <f t="shared" si="1"/>
        <v>705684.29138876603</v>
      </c>
      <c r="I41" s="101">
        <f t="shared" si="1"/>
        <v>773542.68661624438</v>
      </c>
      <c r="L41" s="71">
        <f>D41</f>
        <v>7.8316088316660995E-2</v>
      </c>
      <c r="M41" s="116">
        <f t="shared" si="2"/>
        <v>-0.47825685940733675</v>
      </c>
      <c r="N41" s="116">
        <f t="shared" si="2"/>
        <v>-0.4452120309297356</v>
      </c>
      <c r="O41" s="122">
        <f t="shared" si="2"/>
        <v>-0.4053279011699138</v>
      </c>
      <c r="P41" s="116">
        <f t="shared" si="2"/>
        <v>-0.35623607715380323</v>
      </c>
      <c r="Q41" s="116">
        <f t="shared" si="2"/>
        <v>-0.29433192646948125</v>
      </c>
    </row>
    <row r="42" spans="2:18">
      <c r="D42" s="71">
        <f>D41+0.005</f>
        <v>8.3316088316660999E-2</v>
      </c>
      <c r="E42" s="101">
        <f t="shared" si="1"/>
        <v>521494.69015975099</v>
      </c>
      <c r="F42" s="101">
        <f t="shared" si="1"/>
        <v>550685.42268563737</v>
      </c>
      <c r="G42" s="101">
        <f t="shared" si="1"/>
        <v>585351.18787943327</v>
      </c>
      <c r="H42" s="101">
        <f t="shared" si="1"/>
        <v>627191.74027177028</v>
      </c>
      <c r="I42" s="101">
        <f t="shared" si="1"/>
        <v>678691.64881059562</v>
      </c>
      <c r="L42" s="71">
        <f>D42</f>
        <v>8.3316088316660999E-2</v>
      </c>
      <c r="M42" s="116">
        <f t="shared" si="2"/>
        <v>-0.52426393561911788</v>
      </c>
      <c r="N42" s="116">
        <f t="shared" si="2"/>
        <v>-0.49763454807155505</v>
      </c>
      <c r="O42" s="116">
        <f t="shared" si="2"/>
        <v>-0.46601053537643766</v>
      </c>
      <c r="P42" s="116">
        <f t="shared" si="2"/>
        <v>-0.42784128820624134</v>
      </c>
      <c r="Q42" s="116">
        <f t="shared" si="2"/>
        <v>-0.3808602464688251</v>
      </c>
    </row>
    <row r="43" spans="2:18">
      <c r="D43" s="71">
        <f>D42+0.005</f>
        <v>8.8316088316661004E-2</v>
      </c>
      <c r="E43" s="101">
        <f t="shared" si="1"/>
        <v>478608.38535637024</v>
      </c>
      <c r="F43" s="101">
        <f t="shared" si="1"/>
        <v>502459.66868879471</v>
      </c>
      <c r="G43" s="101">
        <f t="shared" si="1"/>
        <v>530400.95257182384</v>
      </c>
      <c r="H43" s="101">
        <f t="shared" si="1"/>
        <v>563582.92172738782</v>
      </c>
      <c r="I43" s="101">
        <f t="shared" si="1"/>
        <v>603632.57622579054</v>
      </c>
      <c r="L43" s="71">
        <f>D43</f>
        <v>8.8316088316661004E-2</v>
      </c>
      <c r="M43" s="116">
        <f t="shared" si="2"/>
        <v>-0.56338717550627615</v>
      </c>
      <c r="N43" s="116">
        <f t="shared" si="2"/>
        <v>-0.54162872642307458</v>
      </c>
      <c r="O43" s="116">
        <f t="shared" si="2"/>
        <v>-0.5161391544694478</v>
      </c>
      <c r="P43" s="116">
        <f t="shared" si="2"/>
        <v>-0.48586874191809448</v>
      </c>
      <c r="Q43" s="116">
        <f t="shared" si="2"/>
        <v>-0.44933325005134583</v>
      </c>
    </row>
    <row r="47" spans="2:18">
      <c r="B47" s="58" t="s">
        <v>16</v>
      </c>
      <c r="C47" s="59" t="s">
        <v>42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</row>
    <row r="49" spans="5:16">
      <c r="E49" s="60"/>
      <c r="G49" s="73"/>
      <c r="M49" s="33" t="s">
        <v>19</v>
      </c>
    </row>
    <row r="52" spans="5:16">
      <c r="E52" s="60" t="s">
        <v>20</v>
      </c>
      <c r="M52" s="60" t="s">
        <v>21</v>
      </c>
    </row>
    <row r="54" spans="5:16">
      <c r="G54" s="62" t="s">
        <v>22</v>
      </c>
      <c r="H54" s="62" t="s">
        <v>23</v>
      </c>
      <c r="I54" s="62" t="s">
        <v>23</v>
      </c>
    </row>
    <row r="55" spans="5:16">
      <c r="E55" s="60" t="s">
        <v>24</v>
      </c>
      <c r="G55" s="63" t="s">
        <v>25</v>
      </c>
      <c r="H55" s="63" t="s">
        <v>25</v>
      </c>
      <c r="I55" s="63" t="s">
        <v>26</v>
      </c>
      <c r="M55" s="64" t="s">
        <v>43</v>
      </c>
      <c r="P55" s="74">
        <f>Inputs!$G$143</f>
        <v>12</v>
      </c>
    </row>
    <row r="56" spans="5:16">
      <c r="G56" s="108">
        <f>Model!$I$349</f>
        <v>589784.74291021144</v>
      </c>
      <c r="H56" s="104">
        <f>G56-$P$57</f>
        <v>625467.74291021144</v>
      </c>
      <c r="I56" s="108">
        <f>H56/$P$58</f>
        <v>176.436598846322</v>
      </c>
      <c r="M56" s="64" t="s">
        <v>28</v>
      </c>
      <c r="P56" s="66">
        <f>Inputs!$M$122</f>
        <v>7.8316088316660995E-2</v>
      </c>
    </row>
    <row r="57" spans="5:16">
      <c r="E57" s="64" t="s">
        <v>29</v>
      </c>
      <c r="F57" s="67">
        <v>1</v>
      </c>
      <c r="G57" s="100">
        <v>1252716.19633124</v>
      </c>
      <c r="H57" s="101">
        <f>G57-$P$57</f>
        <v>1288399.19633124</v>
      </c>
      <c r="I57" s="101">
        <f>H57/$P$58</f>
        <v>363.44124014985613</v>
      </c>
      <c r="M57" s="64" t="s">
        <v>30</v>
      </c>
      <c r="O57" s="33" t="s">
        <v>31</v>
      </c>
      <c r="P57" s="106">
        <f>Inputs!$M$132</f>
        <v>-35683</v>
      </c>
    </row>
    <row r="58" spans="5:16">
      <c r="E58" s="64" t="s">
        <v>32</v>
      </c>
      <c r="F58" s="67">
        <v>2</v>
      </c>
      <c r="G58" s="100">
        <v>589784.74291021097</v>
      </c>
      <c r="H58" s="101">
        <f>G58-$P$57</f>
        <v>625467.74291021097</v>
      </c>
      <c r="I58" s="101">
        <f>H58/$P$58</f>
        <v>176.43659884632186</v>
      </c>
      <c r="M58" s="64" t="s">
        <v>33</v>
      </c>
      <c r="O58" s="33" t="s">
        <v>34</v>
      </c>
      <c r="P58" s="106">
        <f>Inputs!$G$140</f>
        <v>3545</v>
      </c>
    </row>
    <row r="59" spans="5:16">
      <c r="E59" s="64" t="s">
        <v>35</v>
      </c>
      <c r="F59" s="67">
        <v>3</v>
      </c>
      <c r="G59" s="100">
        <v>223616.15529828699</v>
      </c>
      <c r="H59" s="101">
        <f>G59-$P$57</f>
        <v>259299.15529828699</v>
      </c>
      <c r="I59" s="101">
        <f>H59/$P$58</f>
        <v>73.145036755511143</v>
      </c>
      <c r="M59" s="64" t="s">
        <v>36</v>
      </c>
      <c r="O59" s="33" t="s">
        <v>37</v>
      </c>
      <c r="P59" s="106">
        <f>Inputs!$G$141</f>
        <v>309.22000000000003</v>
      </c>
    </row>
    <row r="63" spans="5:16">
      <c r="E63" s="60" t="s">
        <v>38</v>
      </c>
      <c r="M63" s="60" t="s">
        <v>39</v>
      </c>
    </row>
    <row r="65" spans="3:18">
      <c r="E65" s="33" t="s">
        <v>43</v>
      </c>
      <c r="M65" s="33" t="s">
        <v>43</v>
      </c>
    </row>
    <row r="66" spans="3:18">
      <c r="D66" s="54">
        <f>Model!$I$349</f>
        <v>589784.74291021144</v>
      </c>
      <c r="E66" s="75">
        <f>F66-0.5</f>
        <v>11</v>
      </c>
      <c r="F66" s="75">
        <f>G66-0.5</f>
        <v>11.5</v>
      </c>
      <c r="G66" s="75">
        <f>Inputs!$G$143</f>
        <v>12</v>
      </c>
      <c r="H66" s="75">
        <f>G66+0.5</f>
        <v>12.5</v>
      </c>
      <c r="I66" s="75">
        <f>H66+0.5</f>
        <v>13</v>
      </c>
      <c r="M66" s="75">
        <f>E66</f>
        <v>11</v>
      </c>
      <c r="N66" s="75">
        <f>F66</f>
        <v>11.5</v>
      </c>
      <c r="O66" s="75">
        <f>G66</f>
        <v>12</v>
      </c>
      <c r="P66" s="75">
        <f>H66</f>
        <v>12.5</v>
      </c>
      <c r="Q66" s="75">
        <f>I66</f>
        <v>13</v>
      </c>
    </row>
    <row r="67" spans="3:18">
      <c r="C67" s="60" t="s">
        <v>28</v>
      </c>
      <c r="D67" s="71">
        <f>D68-0.005</f>
        <v>6.8316088316660986E-2</v>
      </c>
      <c r="E67" s="101">
        <f t="dataTable" ref="E67:I71" dt2D="1" dtr="1" r1="P55" r2="P56"/>
        <v>600258.26038755476</v>
      </c>
      <c r="F67" s="101">
        <v>620279.04657168861</v>
      </c>
      <c r="G67" s="101">
        <v>640299.83275582246</v>
      </c>
      <c r="H67" s="101">
        <v>660320.6189399563</v>
      </c>
      <c r="I67" s="101">
        <v>680341.40512409015</v>
      </c>
      <c r="K67" s="60" t="s">
        <v>28</v>
      </c>
      <c r="L67" s="71">
        <f>D67</f>
        <v>6.8316088316660986E-2</v>
      </c>
      <c r="M67" s="102">
        <f t="shared" ref="M67:Q71" si="3">E80/$P$58</f>
        <v>179.39104665375311</v>
      </c>
      <c r="N67" s="102">
        <f t="shared" si="3"/>
        <v>185.03865911754264</v>
      </c>
      <c r="O67" s="102">
        <f t="shared" si="3"/>
        <v>190.68627158133214</v>
      </c>
      <c r="P67" s="102">
        <f t="shared" si="3"/>
        <v>196.33388404512166</v>
      </c>
      <c r="Q67" s="102">
        <f t="shared" si="3"/>
        <v>201.98149650891119</v>
      </c>
      <c r="R67" s="95"/>
    </row>
    <row r="68" spans="3:18">
      <c r="D68" s="71">
        <f>D69-0.005</f>
        <v>7.3316088316660991E-2</v>
      </c>
      <c r="E68" s="101">
        <v>576146.78143510316</v>
      </c>
      <c r="F68" s="101">
        <v>595298.87954382622</v>
      </c>
      <c r="G68" s="101">
        <v>614450.97765254951</v>
      </c>
      <c r="H68" s="101">
        <v>633603.07576127257</v>
      </c>
      <c r="I68" s="101">
        <v>652755.17386999587</v>
      </c>
      <c r="L68" s="71">
        <f>D68</f>
        <v>7.3316088316660991E-2</v>
      </c>
      <c r="M68" s="102">
        <f t="shared" si="3"/>
        <v>172.58950111004322</v>
      </c>
      <c r="N68" s="102">
        <f t="shared" si="3"/>
        <v>177.99206757230641</v>
      </c>
      <c r="O68" s="102">
        <f t="shared" si="3"/>
        <v>183.39463403456969</v>
      </c>
      <c r="P68" s="102">
        <f t="shared" si="3"/>
        <v>188.79720049683289</v>
      </c>
      <c r="Q68" s="102">
        <f t="shared" si="3"/>
        <v>194.19976695909617</v>
      </c>
      <c r="R68" s="95"/>
    </row>
    <row r="69" spans="3:18">
      <c r="D69" s="71">
        <f>Inputs!$M$122</f>
        <v>7.8316088316660995E-2</v>
      </c>
      <c r="E69" s="101">
        <v>553134.98420737509</v>
      </c>
      <c r="F69" s="101">
        <v>571459.86355879321</v>
      </c>
      <c r="G69" s="120">
        <v>589784.74291021144</v>
      </c>
      <c r="H69" s="101">
        <v>608109.62226162967</v>
      </c>
      <c r="I69" s="101">
        <v>626434.50161304779</v>
      </c>
      <c r="L69" s="71">
        <f>D69</f>
        <v>7.8316088316660995E-2</v>
      </c>
      <c r="M69" s="102">
        <f t="shared" si="3"/>
        <v>166.09816197669255</v>
      </c>
      <c r="N69" s="102">
        <f t="shared" si="3"/>
        <v>171.26738041150725</v>
      </c>
      <c r="O69" s="121">
        <f t="shared" si="3"/>
        <v>176.436598846322</v>
      </c>
      <c r="P69" s="102">
        <f t="shared" si="3"/>
        <v>181.60581728113672</v>
      </c>
      <c r="Q69" s="102">
        <f t="shared" si="3"/>
        <v>186.77503571595142</v>
      </c>
      <c r="R69" s="95"/>
    </row>
    <row r="70" spans="3:18">
      <c r="D70" s="71">
        <f>D69+0.005</f>
        <v>8.3316088316660999E-2</v>
      </c>
      <c r="E70" s="101">
        <v>531167.1972975129</v>
      </c>
      <c r="F70" s="101">
        <v>548704.16885838949</v>
      </c>
      <c r="G70" s="101">
        <v>566241.14041926619</v>
      </c>
      <c r="H70" s="101">
        <v>583778.11198014289</v>
      </c>
      <c r="I70" s="101">
        <v>601315.08354101959</v>
      </c>
      <c r="L70" s="71">
        <f>D70</f>
        <v>8.3316088316660999E-2</v>
      </c>
      <c r="M70" s="102">
        <f t="shared" si="3"/>
        <v>159.90132504866372</v>
      </c>
      <c r="N70" s="102">
        <f t="shared" si="3"/>
        <v>164.84828458628758</v>
      </c>
      <c r="O70" s="102">
        <f t="shared" si="3"/>
        <v>169.79524412391149</v>
      </c>
      <c r="P70" s="102">
        <f t="shared" si="3"/>
        <v>174.74220366153537</v>
      </c>
      <c r="Q70" s="102">
        <f t="shared" si="3"/>
        <v>179.68916319915925</v>
      </c>
      <c r="R70" s="95"/>
    </row>
    <row r="71" spans="3:18">
      <c r="D71" s="71">
        <f>D70+0.005</f>
        <v>8.8316088316661004E-2</v>
      </c>
      <c r="E71" s="101">
        <v>510190.82759937097</v>
      </c>
      <c r="F71" s="101">
        <v>526977.16553715733</v>
      </c>
      <c r="G71" s="101">
        <v>543763.50347494369</v>
      </c>
      <c r="H71" s="101">
        <v>560549.84141273017</v>
      </c>
      <c r="I71" s="101">
        <v>577336.17935051653</v>
      </c>
      <c r="L71" s="71">
        <f>D71</f>
        <v>8.8316088316661004E-2</v>
      </c>
      <c r="M71" s="102">
        <f t="shared" si="3"/>
        <v>153.98415447090861</v>
      </c>
      <c r="N71" s="102">
        <f t="shared" si="3"/>
        <v>158.71936968608105</v>
      </c>
      <c r="O71" s="102">
        <f t="shared" si="3"/>
        <v>163.4545849012535</v>
      </c>
      <c r="P71" s="102">
        <f t="shared" si="3"/>
        <v>168.189800116426</v>
      </c>
      <c r="Q71" s="102">
        <f t="shared" si="3"/>
        <v>172.92501533159844</v>
      </c>
    </row>
    <row r="76" spans="3:18">
      <c r="E76" s="60" t="s">
        <v>40</v>
      </c>
      <c r="M76" s="60" t="s">
        <v>41</v>
      </c>
    </row>
    <row r="78" spans="3:18">
      <c r="E78" s="33" t="s">
        <v>43</v>
      </c>
      <c r="M78" s="33" t="s">
        <v>43</v>
      </c>
    </row>
    <row r="79" spans="3:18">
      <c r="E79" s="75">
        <f>E66</f>
        <v>11</v>
      </c>
      <c r="F79" s="75">
        <f>F66</f>
        <v>11.5</v>
      </c>
      <c r="G79" s="75">
        <f>G66</f>
        <v>12</v>
      </c>
      <c r="H79" s="75">
        <f>H66</f>
        <v>12.5</v>
      </c>
      <c r="I79" s="75">
        <f>I66</f>
        <v>13</v>
      </c>
      <c r="M79" s="75">
        <f>E79</f>
        <v>11</v>
      </c>
      <c r="N79" s="75">
        <f>F79</f>
        <v>11.5</v>
      </c>
      <c r="O79" s="75">
        <f>G79</f>
        <v>12</v>
      </c>
      <c r="P79" s="75">
        <f>H79</f>
        <v>12.5</v>
      </c>
      <c r="Q79" s="75">
        <f>I79</f>
        <v>13</v>
      </c>
    </row>
    <row r="80" spans="3:18">
      <c r="C80" s="60" t="s">
        <v>28</v>
      </c>
      <c r="D80" s="71">
        <f>D81-0.005</f>
        <v>6.8316088316660986E-2</v>
      </c>
      <c r="E80" s="101">
        <f t="shared" ref="E80:I84" si="4">E67-$P$57</f>
        <v>635941.26038755476</v>
      </c>
      <c r="F80" s="101">
        <f t="shared" si="4"/>
        <v>655962.04657168861</v>
      </c>
      <c r="G80" s="101">
        <f t="shared" si="4"/>
        <v>675982.83275582246</v>
      </c>
      <c r="H80" s="101">
        <f t="shared" si="4"/>
        <v>696003.6189399563</v>
      </c>
      <c r="I80" s="101">
        <f t="shared" si="4"/>
        <v>716024.40512409015</v>
      </c>
      <c r="K80" s="60" t="s">
        <v>28</v>
      </c>
      <c r="L80" s="71">
        <f>D80</f>
        <v>6.8316088316660986E-2</v>
      </c>
      <c r="M80" s="116">
        <f t="shared" ref="M80:Q84" si="5">M67/$P$59-1</f>
        <v>-0.41985949597777283</v>
      </c>
      <c r="N80" s="116">
        <f t="shared" si="5"/>
        <v>-0.40159543652563667</v>
      </c>
      <c r="O80" s="116">
        <f t="shared" si="5"/>
        <v>-0.38333137707350073</v>
      </c>
      <c r="P80" s="116">
        <f t="shared" si="5"/>
        <v>-0.36506731762136457</v>
      </c>
      <c r="Q80" s="116">
        <f t="shared" si="5"/>
        <v>-0.34680325816922841</v>
      </c>
    </row>
    <row r="81" spans="4:17">
      <c r="D81" s="71">
        <f>D82-0.005</f>
        <v>7.3316088316660991E-2</v>
      </c>
      <c r="E81" s="101">
        <f t="shared" si="4"/>
        <v>611829.78143510316</v>
      </c>
      <c r="F81" s="101">
        <f t="shared" si="4"/>
        <v>630981.87954382622</v>
      </c>
      <c r="G81" s="101">
        <f t="shared" si="4"/>
        <v>650133.97765254951</v>
      </c>
      <c r="H81" s="101">
        <f t="shared" si="4"/>
        <v>669286.07576127257</v>
      </c>
      <c r="I81" s="101">
        <f t="shared" si="4"/>
        <v>688438.17386999587</v>
      </c>
      <c r="L81" s="71">
        <f>D81</f>
        <v>7.3316088316660991E-2</v>
      </c>
      <c r="M81" s="116">
        <f t="shared" si="5"/>
        <v>-0.44185530977930532</v>
      </c>
      <c r="N81" s="116">
        <f t="shared" si="5"/>
        <v>-0.42438371524381868</v>
      </c>
      <c r="O81" s="116">
        <f t="shared" si="5"/>
        <v>-0.40691212070833171</v>
      </c>
      <c r="P81" s="116">
        <f t="shared" si="5"/>
        <v>-0.38944052617284497</v>
      </c>
      <c r="Q81" s="116">
        <f t="shared" si="5"/>
        <v>-0.371968931637358</v>
      </c>
    </row>
    <row r="82" spans="4:17">
      <c r="D82" s="71">
        <f>D69</f>
        <v>7.8316088316660995E-2</v>
      </c>
      <c r="E82" s="101">
        <f t="shared" si="4"/>
        <v>588817.98420737509</v>
      </c>
      <c r="F82" s="101">
        <f t="shared" si="4"/>
        <v>607142.86355879321</v>
      </c>
      <c r="G82" s="120">
        <f t="shared" si="4"/>
        <v>625467.74291021144</v>
      </c>
      <c r="H82" s="101">
        <f t="shared" si="4"/>
        <v>643792.62226162967</v>
      </c>
      <c r="I82" s="101">
        <f t="shared" si="4"/>
        <v>662117.50161304779</v>
      </c>
      <c r="L82" s="71">
        <f>D82</f>
        <v>7.8316088316660995E-2</v>
      </c>
      <c r="M82" s="116">
        <f t="shared" si="5"/>
        <v>-0.46284793358549725</v>
      </c>
      <c r="N82" s="116">
        <f t="shared" si="5"/>
        <v>-0.44613097337977092</v>
      </c>
      <c r="O82" s="122">
        <f t="shared" si="5"/>
        <v>-0.42941401317404437</v>
      </c>
      <c r="P82" s="116">
        <f t="shared" si="5"/>
        <v>-0.41269705296831805</v>
      </c>
      <c r="Q82" s="116">
        <f t="shared" si="5"/>
        <v>-0.39598009276259172</v>
      </c>
    </row>
    <row r="83" spans="4:17">
      <c r="D83" s="71">
        <f>D82+0.005</f>
        <v>8.3316088316660999E-2</v>
      </c>
      <c r="E83" s="101">
        <f t="shared" si="4"/>
        <v>566850.1972975129</v>
      </c>
      <c r="F83" s="101">
        <f t="shared" si="4"/>
        <v>584387.16885838949</v>
      </c>
      <c r="G83" s="101">
        <f t="shared" si="4"/>
        <v>601924.14041926619</v>
      </c>
      <c r="H83" s="101">
        <f t="shared" si="4"/>
        <v>619461.11198014289</v>
      </c>
      <c r="I83" s="101">
        <f t="shared" si="4"/>
        <v>636998.08354101959</v>
      </c>
      <c r="L83" s="71">
        <f>D83</f>
        <v>8.3316088316660999E-2</v>
      </c>
      <c r="M83" s="116">
        <f t="shared" si="5"/>
        <v>-0.48288815390769124</v>
      </c>
      <c r="N83" s="116">
        <f t="shared" si="5"/>
        <v>-0.46688996641133318</v>
      </c>
      <c r="O83" s="116">
        <f t="shared" si="5"/>
        <v>-0.45089177891497489</v>
      </c>
      <c r="P83" s="116">
        <f t="shared" si="5"/>
        <v>-0.43489359141861661</v>
      </c>
      <c r="Q83" s="116">
        <f t="shared" si="5"/>
        <v>-0.41889540392225844</v>
      </c>
    </row>
    <row r="84" spans="4:17">
      <c r="D84" s="71">
        <f>D83+0.005</f>
        <v>8.8316088316661004E-2</v>
      </c>
      <c r="E84" s="101">
        <f t="shared" si="4"/>
        <v>545873.82759937097</v>
      </c>
      <c r="F84" s="101">
        <f t="shared" si="4"/>
        <v>562660.16553715733</v>
      </c>
      <c r="G84" s="101">
        <f t="shared" si="4"/>
        <v>579446.50347494369</v>
      </c>
      <c r="H84" s="101">
        <f t="shared" si="4"/>
        <v>596232.84141273017</v>
      </c>
      <c r="I84" s="101">
        <f t="shared" si="4"/>
        <v>613019.17935051653</v>
      </c>
      <c r="L84" s="71">
        <f>D84</f>
        <v>8.8316088316661004E-2</v>
      </c>
      <c r="M84" s="116">
        <f t="shared" si="5"/>
        <v>-0.50202394906245207</v>
      </c>
      <c r="N84" s="116">
        <f t="shared" si="5"/>
        <v>-0.4867105307351367</v>
      </c>
      <c r="O84" s="116">
        <f t="shared" si="5"/>
        <v>-0.47139711240782134</v>
      </c>
      <c r="P84" s="116">
        <f t="shared" si="5"/>
        <v>-0.45608369408050586</v>
      </c>
      <c r="Q84" s="116">
        <f t="shared" si="5"/>
        <v>-0.4407702757531905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Drop Down 2">
              <controlPr defaultSize="0" autoLine="0" autoPict="0">
                <anchor moveWithCells="1">
                  <from>
                    <xdr:col>5</xdr:col>
                    <xdr:colOff>685800</xdr:colOff>
                    <xdr:row>6</xdr:row>
                    <xdr:rowOff>180975</xdr:rowOff>
                  </from>
                  <to>
                    <xdr:col>7</xdr:col>
                    <xdr:colOff>180975</xdr:colOff>
                    <xdr:row>8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1"/>
  <sheetViews>
    <sheetView showGridLines="0" zoomScale="80" zoomScaleNormal="80" workbookViewId="0">
      <pane ySplit="1" topLeftCell="A24" activePane="bottomLeft" state="frozen"/>
      <selection pane="bottomLeft" activeCell="P103" sqref="P103"/>
    </sheetView>
  </sheetViews>
  <sheetFormatPr defaultColWidth="8.7109375" defaultRowHeight="16.5"/>
  <cols>
    <col min="2" max="2" width="2.42578125" style="32" customWidth="1"/>
    <col min="3" max="3" width="40" style="32" customWidth="1"/>
    <col min="4" max="4" width="0.140625" style="32" customWidth="1"/>
    <col min="5" max="5" width="11" style="32" bestFit="1" customWidth="1"/>
    <col min="6" max="6" width="11" style="32" customWidth="1"/>
    <col min="7" max="7" width="13" style="32" customWidth="1"/>
    <col min="8" max="18" width="11" style="32" customWidth="1"/>
    <col min="19" max="19" width="3" style="32" customWidth="1"/>
    <col min="20" max="25" width="8.7109375" style="32" customWidth="1"/>
  </cols>
  <sheetData>
    <row r="1" spans="1:21" s="118" customFormat="1" ht="69.75" customHeight="1">
      <c r="A1" s="117"/>
      <c r="B1" s="117"/>
      <c r="C1" s="119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7" spans="1:21" ht="20.25" customHeight="1">
      <c r="B7" s="30" t="s">
        <v>16</v>
      </c>
      <c r="C7" s="27" t="s">
        <v>44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</row>
    <row r="9" spans="1:21">
      <c r="C9" s="33" t="s">
        <v>19</v>
      </c>
    </row>
    <row r="11" spans="1:21">
      <c r="C11" s="23" t="s">
        <v>45</v>
      </c>
      <c r="E11" s="34">
        <f>Outputs!G8</f>
        <v>2</v>
      </c>
    </row>
    <row r="13" spans="1:21">
      <c r="G13" s="33" t="s">
        <v>46</v>
      </c>
      <c r="H13" s="35">
        <v>2026</v>
      </c>
      <c r="I13" s="35">
        <v>2027</v>
      </c>
      <c r="J13" s="35">
        <v>2028</v>
      </c>
      <c r="K13" s="35">
        <v>2029</v>
      </c>
      <c r="L13" s="35">
        <v>2030</v>
      </c>
      <c r="M13" s="35">
        <v>2031</v>
      </c>
      <c r="N13" s="35">
        <v>2032</v>
      </c>
      <c r="O13" s="35">
        <v>2033</v>
      </c>
      <c r="P13" s="35">
        <v>2034</v>
      </c>
      <c r="Q13" s="35">
        <v>2035</v>
      </c>
      <c r="R13" s="36" t="s">
        <v>47</v>
      </c>
    </row>
    <row r="16" spans="1:21">
      <c r="C16" s="23" t="s">
        <v>48</v>
      </c>
      <c r="H16" s="28">
        <f t="shared" ref="H16:R16" si="0">INDEX(H17:H19,$E$11)</f>
        <v>0.13</v>
      </c>
      <c r="I16" s="28">
        <f t="shared" si="0"/>
        <v>0.1</v>
      </c>
      <c r="J16" s="28">
        <f t="shared" si="0"/>
        <v>0.09</v>
      </c>
      <c r="K16" s="28">
        <f t="shared" si="0"/>
        <v>0.08</v>
      </c>
      <c r="L16" s="28">
        <f t="shared" si="0"/>
        <v>7.0000000000000007E-2</v>
      </c>
      <c r="M16" s="28">
        <f t="shared" si="0"/>
        <v>0.06</v>
      </c>
      <c r="N16" s="28">
        <f t="shared" si="0"/>
        <v>5.5E-2</v>
      </c>
      <c r="O16" s="28">
        <f t="shared" si="0"/>
        <v>0.05</v>
      </c>
      <c r="P16" s="28">
        <f t="shared" si="0"/>
        <v>0.04</v>
      </c>
      <c r="Q16" s="28">
        <f t="shared" si="0"/>
        <v>3.5000000000000003E-2</v>
      </c>
      <c r="R16" s="28">
        <f t="shared" si="0"/>
        <v>0.03</v>
      </c>
    </row>
    <row r="17" spans="3:18">
      <c r="C17" s="37" t="s">
        <v>49</v>
      </c>
      <c r="H17" s="29">
        <v>0.16</v>
      </c>
      <c r="I17" s="29">
        <v>0.14000000000000001</v>
      </c>
      <c r="J17" s="29">
        <v>0.13</v>
      </c>
      <c r="K17" s="29">
        <v>0.12</v>
      </c>
      <c r="L17" s="29">
        <v>0.11</v>
      </c>
      <c r="M17" s="29">
        <v>0.09</v>
      </c>
      <c r="N17" s="29">
        <v>0.08</v>
      </c>
      <c r="O17" s="29">
        <v>7.0000000000000007E-2</v>
      </c>
      <c r="P17" s="29">
        <v>0.06</v>
      </c>
      <c r="Q17" s="29">
        <v>0.05</v>
      </c>
      <c r="R17" s="29">
        <v>3.5000000000000003E-2</v>
      </c>
    </row>
    <row r="18" spans="3:18">
      <c r="C18" s="37" t="s">
        <v>50</v>
      </c>
      <c r="H18" s="29">
        <v>0.13</v>
      </c>
      <c r="I18" s="29">
        <v>0.1</v>
      </c>
      <c r="J18" s="29">
        <v>0.09</v>
      </c>
      <c r="K18" s="29">
        <v>0.08</v>
      </c>
      <c r="L18" s="29">
        <v>7.0000000000000007E-2</v>
      </c>
      <c r="M18" s="29">
        <v>0.06</v>
      </c>
      <c r="N18" s="29">
        <v>5.5E-2</v>
      </c>
      <c r="O18" s="29">
        <v>0.05</v>
      </c>
      <c r="P18" s="29">
        <v>0.04</v>
      </c>
      <c r="Q18" s="29">
        <v>3.5000000000000003E-2</v>
      </c>
      <c r="R18" s="29">
        <v>0.03</v>
      </c>
    </row>
    <row r="19" spans="3:18">
      <c r="C19" s="37" t="s">
        <v>51</v>
      </c>
      <c r="H19" s="29">
        <v>0.09</v>
      </c>
      <c r="I19" s="29">
        <v>0.05</v>
      </c>
      <c r="J19" s="29">
        <v>0.04</v>
      </c>
      <c r="K19" s="29">
        <v>3.5000000000000003E-2</v>
      </c>
      <c r="L19" s="29">
        <v>0.03</v>
      </c>
      <c r="M19" s="29">
        <v>0.03</v>
      </c>
      <c r="N19" s="29">
        <v>2.5000000000000001E-2</v>
      </c>
      <c r="O19" s="29">
        <v>0.02</v>
      </c>
      <c r="P19" s="29">
        <v>0.02</v>
      </c>
      <c r="Q19" s="29">
        <v>0.02</v>
      </c>
      <c r="R19" s="29">
        <v>0.02</v>
      </c>
    </row>
    <row r="22" spans="3:18">
      <c r="C22" s="23" t="s">
        <v>52</v>
      </c>
      <c r="H22" s="28">
        <f t="shared" ref="H22:R22" si="1">INDEX(H23:H25,$E$11)</f>
        <v>-0.02</v>
      </c>
      <c r="I22" s="28">
        <f t="shared" si="1"/>
        <v>-1.4999999999999999E-2</v>
      </c>
      <c r="J22" s="28">
        <f t="shared" si="1"/>
        <v>-0.01</v>
      </c>
      <c r="K22" s="28">
        <f t="shared" si="1"/>
        <v>-5.0000000000000001E-3</v>
      </c>
      <c r="L22" s="28">
        <f t="shared" si="1"/>
        <v>0</v>
      </c>
      <c r="M22" s="28">
        <f t="shared" si="1"/>
        <v>5.0000000000000001E-3</v>
      </c>
      <c r="N22" s="28">
        <f t="shared" si="1"/>
        <v>5.0000000000000001E-3</v>
      </c>
      <c r="O22" s="28">
        <f t="shared" si="1"/>
        <v>0.01</v>
      </c>
      <c r="P22" s="28">
        <f t="shared" si="1"/>
        <v>0.01</v>
      </c>
      <c r="Q22" s="28">
        <f t="shared" si="1"/>
        <v>0.01</v>
      </c>
      <c r="R22" s="28">
        <f t="shared" si="1"/>
        <v>0.01</v>
      </c>
    </row>
    <row r="23" spans="3:18">
      <c r="C23" s="37" t="s">
        <v>49</v>
      </c>
      <c r="H23" s="29">
        <v>-0.01</v>
      </c>
      <c r="I23" s="29">
        <v>0</v>
      </c>
      <c r="J23" s="29">
        <v>5.0000000000000001E-3</v>
      </c>
      <c r="K23" s="29">
        <v>0.01</v>
      </c>
      <c r="L23" s="29">
        <v>0.01</v>
      </c>
      <c r="M23" s="29">
        <v>0.01</v>
      </c>
      <c r="N23" s="29">
        <v>0.01</v>
      </c>
      <c r="O23" s="29">
        <v>1.4999999999999999E-2</v>
      </c>
      <c r="P23" s="29">
        <v>1.4999999999999999E-2</v>
      </c>
      <c r="Q23" s="29">
        <v>1.4999999999999999E-2</v>
      </c>
      <c r="R23" s="29">
        <v>1.4999999999999999E-2</v>
      </c>
    </row>
    <row r="24" spans="3:18">
      <c r="C24" s="37" t="s">
        <v>50</v>
      </c>
      <c r="H24" s="29">
        <v>-0.02</v>
      </c>
      <c r="I24" s="29">
        <v>-1.4999999999999999E-2</v>
      </c>
      <c r="J24" s="29">
        <v>-0.01</v>
      </c>
      <c r="K24" s="29">
        <v>-5.0000000000000001E-3</v>
      </c>
      <c r="L24" s="29">
        <v>0</v>
      </c>
      <c r="M24" s="29">
        <v>5.0000000000000001E-3</v>
      </c>
      <c r="N24" s="29">
        <v>5.0000000000000001E-3</v>
      </c>
      <c r="O24" s="29">
        <v>0.01</v>
      </c>
      <c r="P24" s="29">
        <v>0.01</v>
      </c>
      <c r="Q24" s="29">
        <v>0.01</v>
      </c>
      <c r="R24" s="29">
        <v>0.01</v>
      </c>
    </row>
    <row r="25" spans="3:18">
      <c r="C25" s="37" t="s">
        <v>51</v>
      </c>
      <c r="H25" s="29">
        <v>-0.04</v>
      </c>
      <c r="I25" s="29">
        <v>-0.03</v>
      </c>
      <c r="J25" s="29">
        <v>-0.02</v>
      </c>
      <c r="K25" s="29">
        <v>-1.4999999999999999E-2</v>
      </c>
      <c r="L25" s="29">
        <v>-0.01</v>
      </c>
      <c r="M25" s="29">
        <v>-5.0000000000000001E-3</v>
      </c>
      <c r="N25" s="29">
        <v>0</v>
      </c>
      <c r="O25" s="29">
        <v>0</v>
      </c>
      <c r="P25" s="29">
        <v>5.0000000000000001E-3</v>
      </c>
      <c r="Q25" s="29">
        <v>5.0000000000000001E-3</v>
      </c>
      <c r="R25" s="29">
        <v>5.0000000000000001E-3</v>
      </c>
    </row>
    <row r="28" spans="3:18">
      <c r="C28" s="23" t="s">
        <v>53</v>
      </c>
      <c r="H28" s="28">
        <f t="shared" ref="H28:R28" si="2">INDEX(H29:H31,$E$11)</f>
        <v>0.18</v>
      </c>
      <c r="I28" s="28">
        <f t="shared" si="2"/>
        <v>0.33</v>
      </c>
      <c r="J28" s="28">
        <f t="shared" si="2"/>
        <v>0.22</v>
      </c>
      <c r="K28" s="28">
        <f t="shared" si="2"/>
        <v>0.18</v>
      </c>
      <c r="L28" s="28">
        <f t="shared" si="2"/>
        <v>0.15</v>
      </c>
      <c r="M28" s="28">
        <f t="shared" si="2"/>
        <v>0.13</v>
      </c>
      <c r="N28" s="28">
        <f t="shared" si="2"/>
        <v>0.11</v>
      </c>
      <c r="O28" s="28">
        <f t="shared" si="2"/>
        <v>0.09</v>
      </c>
      <c r="P28" s="28">
        <f t="shared" si="2"/>
        <v>7.0000000000000007E-2</v>
      </c>
      <c r="Q28" s="28">
        <f t="shared" si="2"/>
        <v>0.06</v>
      </c>
      <c r="R28" s="28">
        <f t="shared" si="2"/>
        <v>0.05</v>
      </c>
    </row>
    <row r="29" spans="3:18">
      <c r="C29" s="37" t="s">
        <v>49</v>
      </c>
      <c r="H29" s="29">
        <v>0.28999999999999998</v>
      </c>
      <c r="I29" s="29">
        <v>0.4</v>
      </c>
      <c r="J29" s="29">
        <v>0.31</v>
      </c>
      <c r="K29" s="29">
        <v>0.23</v>
      </c>
      <c r="L29" s="29">
        <v>0.2</v>
      </c>
      <c r="M29" s="29">
        <v>0.17</v>
      </c>
      <c r="N29" s="29">
        <v>0.14000000000000001</v>
      </c>
      <c r="O29" s="29">
        <v>0.12</v>
      </c>
      <c r="P29" s="29">
        <v>0.1</v>
      </c>
      <c r="Q29" s="29">
        <v>0.08</v>
      </c>
      <c r="R29" s="29">
        <v>0.06</v>
      </c>
    </row>
    <row r="30" spans="3:18">
      <c r="C30" s="37" t="s">
        <v>50</v>
      </c>
      <c r="H30" s="29">
        <v>0.18</v>
      </c>
      <c r="I30" s="29">
        <v>0.33</v>
      </c>
      <c r="J30" s="29">
        <v>0.22</v>
      </c>
      <c r="K30" s="29">
        <v>0.18</v>
      </c>
      <c r="L30" s="29">
        <v>0.15</v>
      </c>
      <c r="M30" s="29">
        <v>0.13</v>
      </c>
      <c r="N30" s="29">
        <v>0.11</v>
      </c>
      <c r="O30" s="29">
        <v>0.09</v>
      </c>
      <c r="P30" s="29">
        <v>7.0000000000000007E-2</v>
      </c>
      <c r="Q30" s="29">
        <v>0.06</v>
      </c>
      <c r="R30" s="29">
        <v>0.05</v>
      </c>
    </row>
    <row r="31" spans="3:18">
      <c r="C31" s="37" t="s">
        <v>51</v>
      </c>
      <c r="H31" s="29">
        <v>0.15</v>
      </c>
      <c r="I31" s="29">
        <v>0.16</v>
      </c>
      <c r="J31" s="29">
        <v>0.13</v>
      </c>
      <c r="K31" s="29">
        <v>0.1</v>
      </c>
      <c r="L31" s="29">
        <v>0.08</v>
      </c>
      <c r="M31" s="29">
        <v>7.0000000000000007E-2</v>
      </c>
      <c r="N31" s="29">
        <v>0.06</v>
      </c>
      <c r="O31" s="29">
        <v>0.05</v>
      </c>
      <c r="P31" s="29">
        <v>0.04</v>
      </c>
      <c r="Q31" s="29">
        <v>0.04</v>
      </c>
      <c r="R31" s="29">
        <v>3.5000000000000003E-2</v>
      </c>
    </row>
    <row r="34" spans="3:18">
      <c r="C34" s="23" t="s">
        <v>54</v>
      </c>
      <c r="H34" s="28">
        <f t="shared" ref="H34:R34" si="3">INDEX(H35:H37,$E$11)</f>
        <v>0.3</v>
      </c>
      <c r="I34" s="28">
        <f t="shared" si="3"/>
        <v>0.19</v>
      </c>
      <c r="J34" s="28">
        <f t="shared" si="3"/>
        <v>0.3</v>
      </c>
      <c r="K34" s="28">
        <f t="shared" si="3"/>
        <v>0.28000000000000003</v>
      </c>
      <c r="L34" s="28">
        <f t="shared" si="3"/>
        <v>0.25</v>
      </c>
      <c r="M34" s="28">
        <f t="shared" si="3"/>
        <v>0.2</v>
      </c>
      <c r="N34" s="28">
        <f t="shared" si="3"/>
        <v>0.16</v>
      </c>
      <c r="O34" s="28">
        <f t="shared" si="3"/>
        <v>0.13</v>
      </c>
      <c r="P34" s="28">
        <f t="shared" si="3"/>
        <v>0.1</v>
      </c>
      <c r="Q34" s="28">
        <f t="shared" si="3"/>
        <v>0.08</v>
      </c>
      <c r="R34" s="28">
        <f t="shared" si="3"/>
        <v>0.05</v>
      </c>
    </row>
    <row r="35" spans="3:18">
      <c r="C35" s="37" t="s">
        <v>49</v>
      </c>
      <c r="H35" s="29">
        <v>0.35</v>
      </c>
      <c r="I35" s="29">
        <v>0.28000000000000003</v>
      </c>
      <c r="J35" s="29">
        <v>0.42</v>
      </c>
      <c r="K35" s="29">
        <v>0.38</v>
      </c>
      <c r="L35" s="29">
        <v>0.33</v>
      </c>
      <c r="M35" s="29">
        <v>0.27</v>
      </c>
      <c r="N35" s="29">
        <v>0.22</v>
      </c>
      <c r="O35" s="29">
        <v>0.18</v>
      </c>
      <c r="P35" s="29">
        <v>0.14000000000000001</v>
      </c>
      <c r="Q35" s="29">
        <v>0.11</v>
      </c>
      <c r="R35" s="29">
        <v>0.06</v>
      </c>
    </row>
    <row r="36" spans="3:18">
      <c r="C36" s="37" t="s">
        <v>50</v>
      </c>
      <c r="H36" s="29">
        <v>0.3</v>
      </c>
      <c r="I36" s="29">
        <v>0.19</v>
      </c>
      <c r="J36" s="29">
        <v>0.3</v>
      </c>
      <c r="K36" s="29">
        <v>0.28000000000000003</v>
      </c>
      <c r="L36" s="29">
        <v>0.25</v>
      </c>
      <c r="M36" s="29">
        <v>0.2</v>
      </c>
      <c r="N36" s="29">
        <v>0.16</v>
      </c>
      <c r="O36" s="29">
        <v>0.13</v>
      </c>
      <c r="P36" s="29">
        <v>0.1</v>
      </c>
      <c r="Q36" s="29">
        <v>0.08</v>
      </c>
      <c r="R36" s="29">
        <v>0.05</v>
      </c>
    </row>
    <row r="37" spans="3:18">
      <c r="C37" s="37" t="s">
        <v>51</v>
      </c>
      <c r="H37" s="29">
        <v>0.16</v>
      </c>
      <c r="I37" s="29">
        <v>0.15</v>
      </c>
      <c r="J37" s="29">
        <v>0.14000000000000001</v>
      </c>
      <c r="K37" s="29">
        <v>0.12</v>
      </c>
      <c r="L37" s="29">
        <v>0.1</v>
      </c>
      <c r="M37" s="29">
        <v>0.09</v>
      </c>
      <c r="N37" s="29">
        <v>0.08</v>
      </c>
      <c r="O37" s="29">
        <v>7.0000000000000007E-2</v>
      </c>
      <c r="P37" s="29">
        <v>0.06</v>
      </c>
      <c r="Q37" s="29">
        <v>0.05</v>
      </c>
      <c r="R37" s="29">
        <v>0.04</v>
      </c>
    </row>
    <row r="40" spans="3:18">
      <c r="C40" s="23" t="s">
        <v>55</v>
      </c>
      <c r="H40" s="28">
        <f t="shared" ref="H40:R40" si="4">INDEX(H41:H43,$E$11)</f>
        <v>0.18</v>
      </c>
      <c r="I40" s="28">
        <f t="shared" si="4"/>
        <v>0.19</v>
      </c>
      <c r="J40" s="28">
        <f t="shared" si="4"/>
        <v>0.25</v>
      </c>
      <c r="K40" s="28">
        <f t="shared" si="4"/>
        <v>0.255</v>
      </c>
      <c r="L40" s="28">
        <f t="shared" si="4"/>
        <v>0.26</v>
      </c>
      <c r="M40" s="28">
        <f t="shared" si="4"/>
        <v>0.26500000000000001</v>
      </c>
      <c r="N40" s="28">
        <f t="shared" si="4"/>
        <v>0.27</v>
      </c>
      <c r="O40" s="28">
        <f t="shared" si="4"/>
        <v>0.27</v>
      </c>
      <c r="P40" s="28">
        <f t="shared" si="4"/>
        <v>0.27500000000000002</v>
      </c>
      <c r="Q40" s="28">
        <f t="shared" si="4"/>
        <v>0.27500000000000002</v>
      </c>
      <c r="R40" s="28">
        <f t="shared" si="4"/>
        <v>0.27500000000000002</v>
      </c>
    </row>
    <row r="41" spans="3:18">
      <c r="C41" s="37" t="s">
        <v>49</v>
      </c>
      <c r="H41" s="29">
        <v>0.23</v>
      </c>
      <c r="I41" s="29">
        <v>0.26500000000000001</v>
      </c>
      <c r="J41" s="29">
        <v>0.27500000000000002</v>
      </c>
      <c r="K41" s="29">
        <v>0.28499999999999998</v>
      </c>
      <c r="L41" s="29">
        <v>0.28999999999999998</v>
      </c>
      <c r="M41" s="29">
        <v>0.29499999999999998</v>
      </c>
      <c r="N41" s="29">
        <v>0.3</v>
      </c>
      <c r="O41" s="29">
        <v>0.3</v>
      </c>
      <c r="P41" s="29">
        <v>0.30499999999999999</v>
      </c>
      <c r="Q41" s="29">
        <v>0.30499999999999999</v>
      </c>
      <c r="R41" s="29">
        <v>0.30499999999999999</v>
      </c>
    </row>
    <row r="42" spans="3:18">
      <c r="C42" s="37" t="s">
        <v>50</v>
      </c>
      <c r="H42" s="29">
        <v>0.18</v>
      </c>
      <c r="I42" s="29">
        <v>0.19</v>
      </c>
      <c r="J42" s="29">
        <v>0.25</v>
      </c>
      <c r="K42" s="29">
        <v>0.255</v>
      </c>
      <c r="L42" s="29">
        <v>0.26</v>
      </c>
      <c r="M42" s="29">
        <v>0.26500000000000001</v>
      </c>
      <c r="N42" s="29">
        <v>0.27</v>
      </c>
      <c r="O42" s="29">
        <v>0.27</v>
      </c>
      <c r="P42" s="29">
        <v>0.27500000000000002</v>
      </c>
      <c r="Q42" s="29">
        <v>0.27500000000000002</v>
      </c>
      <c r="R42" s="29">
        <v>0.27500000000000002</v>
      </c>
    </row>
    <row r="43" spans="3:18">
      <c r="C43" s="37" t="s">
        <v>51</v>
      </c>
      <c r="H43" s="29">
        <v>0.15</v>
      </c>
      <c r="I43" s="29">
        <v>0.17</v>
      </c>
      <c r="J43" s="29">
        <v>0.22500000000000001</v>
      </c>
      <c r="K43" s="29">
        <v>0.23</v>
      </c>
      <c r="L43" s="29">
        <v>0.23499999999999999</v>
      </c>
      <c r="M43" s="29">
        <v>0.24</v>
      </c>
      <c r="N43" s="29">
        <v>0.24</v>
      </c>
      <c r="O43" s="29">
        <v>0.245</v>
      </c>
      <c r="P43" s="29">
        <v>0.245</v>
      </c>
      <c r="Q43" s="29">
        <v>0.245</v>
      </c>
      <c r="R43" s="29">
        <v>0.245</v>
      </c>
    </row>
    <row r="46" spans="3:18">
      <c r="C46" s="23" t="s">
        <v>56</v>
      </c>
      <c r="H46" s="28">
        <f t="shared" ref="H46:R46" si="5">INDEX(H47:H49,$E$11)</f>
        <v>0.28999999999999998</v>
      </c>
      <c r="I46" s="28">
        <f t="shared" si="5"/>
        <v>0.28999999999999998</v>
      </c>
      <c r="J46" s="28">
        <f t="shared" si="5"/>
        <v>0.34</v>
      </c>
      <c r="K46" s="28">
        <f t="shared" si="5"/>
        <v>0.35</v>
      </c>
      <c r="L46" s="28">
        <f t="shared" si="5"/>
        <v>0.35</v>
      </c>
      <c r="M46" s="28">
        <f t="shared" si="5"/>
        <v>0.35</v>
      </c>
      <c r="N46" s="28">
        <f t="shared" si="5"/>
        <v>0.35</v>
      </c>
      <c r="O46" s="28">
        <f t="shared" si="5"/>
        <v>0.35</v>
      </c>
      <c r="P46" s="28">
        <f t="shared" si="5"/>
        <v>0.35</v>
      </c>
      <c r="Q46" s="28">
        <f t="shared" si="5"/>
        <v>0.35</v>
      </c>
      <c r="R46" s="28">
        <f t="shared" si="5"/>
        <v>0.35</v>
      </c>
    </row>
    <row r="47" spans="3:18">
      <c r="C47" s="37" t="s">
        <v>49</v>
      </c>
      <c r="H47" s="29">
        <v>0.35</v>
      </c>
      <c r="I47" s="29">
        <v>0.36</v>
      </c>
      <c r="J47" s="29">
        <v>0.37</v>
      </c>
      <c r="K47" s="29">
        <v>0.38</v>
      </c>
      <c r="L47" s="29">
        <v>0.38</v>
      </c>
      <c r="M47" s="29">
        <v>0.38</v>
      </c>
      <c r="N47" s="29">
        <v>0.38</v>
      </c>
      <c r="O47" s="29">
        <v>0.38</v>
      </c>
      <c r="P47" s="29">
        <v>0.38</v>
      </c>
      <c r="Q47" s="29">
        <v>0.38</v>
      </c>
      <c r="R47" s="29">
        <v>0.38</v>
      </c>
    </row>
    <row r="48" spans="3:18">
      <c r="C48" s="37" t="s">
        <v>50</v>
      </c>
      <c r="H48" s="29">
        <v>0.28999999999999998</v>
      </c>
      <c r="I48" s="29">
        <v>0.28999999999999998</v>
      </c>
      <c r="J48" s="29">
        <v>0.34</v>
      </c>
      <c r="K48" s="29">
        <v>0.35</v>
      </c>
      <c r="L48" s="29">
        <v>0.35</v>
      </c>
      <c r="M48" s="29">
        <v>0.35</v>
      </c>
      <c r="N48" s="29">
        <v>0.35</v>
      </c>
      <c r="O48" s="29">
        <v>0.35</v>
      </c>
      <c r="P48" s="29">
        <v>0.35</v>
      </c>
      <c r="Q48" s="29">
        <v>0.35</v>
      </c>
      <c r="R48" s="29">
        <v>0.35</v>
      </c>
    </row>
    <row r="49" spans="3:18">
      <c r="C49" s="37" t="s">
        <v>51</v>
      </c>
      <c r="H49" s="29">
        <v>0.26</v>
      </c>
      <c r="I49" s="29">
        <v>0.25</v>
      </c>
      <c r="J49" s="29">
        <v>0.3</v>
      </c>
      <c r="K49" s="29">
        <v>0.3</v>
      </c>
      <c r="L49" s="29">
        <v>0.3</v>
      </c>
      <c r="M49" s="29">
        <v>0.3</v>
      </c>
      <c r="N49" s="29">
        <v>0.3</v>
      </c>
      <c r="O49" s="29">
        <v>0.3</v>
      </c>
      <c r="P49" s="29">
        <v>0.3</v>
      </c>
      <c r="Q49" s="29">
        <v>0.3</v>
      </c>
      <c r="R49" s="29">
        <v>0.3</v>
      </c>
    </row>
    <row r="52" spans="3:18">
      <c r="C52" s="23" t="s">
        <v>57</v>
      </c>
      <c r="H52" s="28">
        <f t="shared" ref="H52:R52" si="6">INDEX(H53:H55,$E$11)</f>
        <v>0.12</v>
      </c>
      <c r="I52" s="28">
        <f t="shared" si="6"/>
        <v>0.12</v>
      </c>
      <c r="J52" s="28">
        <f t="shared" si="6"/>
        <v>0.26</v>
      </c>
      <c r="K52" s="28">
        <f t="shared" si="6"/>
        <v>0.31</v>
      </c>
      <c r="L52" s="28">
        <f t="shared" si="6"/>
        <v>0.35</v>
      </c>
      <c r="M52" s="28">
        <f t="shared" si="6"/>
        <v>0.38</v>
      </c>
      <c r="N52" s="28">
        <f t="shared" si="6"/>
        <v>0.4</v>
      </c>
      <c r="O52" s="28">
        <f t="shared" si="6"/>
        <v>0.41</v>
      </c>
      <c r="P52" s="28">
        <f t="shared" si="6"/>
        <v>0.42</v>
      </c>
      <c r="Q52" s="28">
        <f t="shared" si="6"/>
        <v>0.42</v>
      </c>
      <c r="R52" s="28">
        <f t="shared" si="6"/>
        <v>0.42</v>
      </c>
    </row>
    <row r="53" spans="3:18">
      <c r="C53" s="37" t="s">
        <v>49</v>
      </c>
      <c r="H53" s="29">
        <v>0.16</v>
      </c>
      <c r="I53" s="29">
        <v>0.23</v>
      </c>
      <c r="J53" s="29">
        <v>0.34</v>
      </c>
      <c r="K53" s="29">
        <v>0.4</v>
      </c>
      <c r="L53" s="29">
        <v>0.45</v>
      </c>
      <c r="M53" s="29">
        <v>0.48</v>
      </c>
      <c r="N53" s="29">
        <v>0.5</v>
      </c>
      <c r="O53" s="29">
        <v>0.51</v>
      </c>
      <c r="P53" s="29">
        <v>0.52</v>
      </c>
      <c r="Q53" s="29">
        <v>0.52</v>
      </c>
      <c r="R53" s="29">
        <v>0.52</v>
      </c>
    </row>
    <row r="54" spans="3:18">
      <c r="C54" s="37" t="s">
        <v>50</v>
      </c>
      <c r="H54" s="29">
        <v>0.12</v>
      </c>
      <c r="I54" s="29">
        <v>0.12</v>
      </c>
      <c r="J54" s="29">
        <v>0.26</v>
      </c>
      <c r="K54" s="29">
        <v>0.31</v>
      </c>
      <c r="L54" s="29">
        <v>0.35</v>
      </c>
      <c r="M54" s="29">
        <v>0.38</v>
      </c>
      <c r="N54" s="29">
        <v>0.4</v>
      </c>
      <c r="O54" s="29">
        <v>0.41</v>
      </c>
      <c r="P54" s="29">
        <v>0.42</v>
      </c>
      <c r="Q54" s="29">
        <v>0.42</v>
      </c>
      <c r="R54" s="29">
        <v>0.42</v>
      </c>
    </row>
    <row r="55" spans="3:18">
      <c r="C55" s="37" t="s">
        <v>51</v>
      </c>
      <c r="H55" s="29">
        <v>0.1</v>
      </c>
      <c r="I55" s="29">
        <v>0.1</v>
      </c>
      <c r="J55" s="29">
        <v>0.18</v>
      </c>
      <c r="K55" s="29">
        <v>0.21</v>
      </c>
      <c r="L55" s="29">
        <v>0.23</v>
      </c>
      <c r="M55" s="29">
        <v>0.25</v>
      </c>
      <c r="N55" s="29">
        <v>0.26</v>
      </c>
      <c r="O55" s="29">
        <v>0.27</v>
      </c>
      <c r="P55" s="29">
        <v>0.28000000000000003</v>
      </c>
      <c r="Q55" s="29">
        <v>0.28000000000000003</v>
      </c>
      <c r="R55" s="29">
        <v>0.28000000000000003</v>
      </c>
    </row>
    <row r="58" spans="3:18">
      <c r="C58" s="23" t="s">
        <v>58</v>
      </c>
      <c r="H58" s="28">
        <f t="shared" ref="H58:R58" si="7">INDEX(H59:H61,$E$11)</f>
        <v>0.22</v>
      </c>
      <c r="I58" s="28">
        <f t="shared" si="7"/>
        <v>0.15</v>
      </c>
      <c r="J58" s="28">
        <f t="shared" si="7"/>
        <v>0.12</v>
      </c>
      <c r="K58" s="28">
        <f t="shared" si="7"/>
        <v>0.1</v>
      </c>
      <c r="L58" s="28">
        <f t="shared" si="7"/>
        <v>0.08</v>
      </c>
      <c r="M58" s="28">
        <f t="shared" si="7"/>
        <v>7.0000000000000007E-2</v>
      </c>
      <c r="N58" s="28">
        <f t="shared" si="7"/>
        <v>0.06</v>
      </c>
      <c r="O58" s="28">
        <f t="shared" si="7"/>
        <v>0.06</v>
      </c>
      <c r="P58" s="28">
        <f t="shared" si="7"/>
        <v>0.05</v>
      </c>
      <c r="Q58" s="28">
        <f t="shared" si="7"/>
        <v>0.05</v>
      </c>
      <c r="R58" s="28">
        <f t="shared" si="7"/>
        <v>0.04</v>
      </c>
    </row>
    <row r="59" spans="3:18">
      <c r="C59" s="37" t="s">
        <v>49</v>
      </c>
      <c r="H59" s="29">
        <v>0.18</v>
      </c>
      <c r="I59" s="29">
        <v>0.12</v>
      </c>
      <c r="J59" s="29">
        <v>0.1</v>
      </c>
      <c r="K59" s="29">
        <v>0.08</v>
      </c>
      <c r="L59" s="29">
        <v>7.0000000000000007E-2</v>
      </c>
      <c r="M59" s="29">
        <v>0.06</v>
      </c>
      <c r="N59" s="29">
        <v>0.05</v>
      </c>
      <c r="O59" s="29">
        <v>0.05</v>
      </c>
      <c r="P59" s="29">
        <v>4.4999999999999998E-2</v>
      </c>
      <c r="Q59" s="29">
        <v>4.4999999999999998E-2</v>
      </c>
      <c r="R59" s="29">
        <v>3.5000000000000003E-2</v>
      </c>
    </row>
    <row r="60" spans="3:18">
      <c r="C60" s="37" t="s">
        <v>50</v>
      </c>
      <c r="H60" s="29">
        <v>0.22</v>
      </c>
      <c r="I60" s="29">
        <v>0.15</v>
      </c>
      <c r="J60" s="29">
        <v>0.12</v>
      </c>
      <c r="K60" s="29">
        <v>0.1</v>
      </c>
      <c r="L60" s="29">
        <v>0.08</v>
      </c>
      <c r="M60" s="29">
        <v>7.0000000000000007E-2</v>
      </c>
      <c r="N60" s="29">
        <v>0.06</v>
      </c>
      <c r="O60" s="29">
        <v>0.06</v>
      </c>
      <c r="P60" s="29">
        <v>0.05</v>
      </c>
      <c r="Q60" s="29">
        <v>0.05</v>
      </c>
      <c r="R60" s="29">
        <v>0.04</v>
      </c>
    </row>
    <row r="61" spans="3:18">
      <c r="C61" s="37" t="s">
        <v>51</v>
      </c>
      <c r="H61" s="29">
        <v>0.2</v>
      </c>
      <c r="I61" s="29">
        <v>0.12</v>
      </c>
      <c r="J61" s="29">
        <v>0.08</v>
      </c>
      <c r="K61" s="29">
        <v>0.06</v>
      </c>
      <c r="L61" s="29">
        <v>0.05</v>
      </c>
      <c r="M61" s="29">
        <v>0.04</v>
      </c>
      <c r="N61" s="29">
        <v>0.04</v>
      </c>
      <c r="O61" s="29">
        <v>3.5000000000000003E-2</v>
      </c>
      <c r="P61" s="29">
        <v>0.03</v>
      </c>
      <c r="Q61" s="29">
        <v>0.03</v>
      </c>
      <c r="R61" s="29">
        <v>2.5000000000000001E-2</v>
      </c>
    </row>
    <row r="64" spans="3:18">
      <c r="C64" s="23" t="s">
        <v>59</v>
      </c>
      <c r="H64" s="109">
        <f t="shared" ref="H64:R64" si="8">INDEX(H65:H67,$E$11)</f>
        <v>24000</v>
      </c>
      <c r="I64" s="109">
        <f t="shared" si="8"/>
        <v>17000</v>
      </c>
      <c r="J64" s="109">
        <f t="shared" si="8"/>
        <v>15000</v>
      </c>
      <c r="K64" s="109">
        <f t="shared" si="8"/>
        <v>14000</v>
      </c>
      <c r="L64" s="109">
        <f t="shared" si="8"/>
        <v>13500</v>
      </c>
      <c r="M64" s="109">
        <f t="shared" si="8"/>
        <v>13500</v>
      </c>
      <c r="N64" s="109">
        <f t="shared" si="8"/>
        <v>14000</v>
      </c>
      <c r="O64" s="109">
        <f t="shared" si="8"/>
        <v>14500</v>
      </c>
      <c r="P64" s="109">
        <f t="shared" si="8"/>
        <v>15000</v>
      </c>
      <c r="Q64" s="109">
        <f t="shared" si="8"/>
        <v>15500</v>
      </c>
      <c r="R64" s="109">
        <f t="shared" si="8"/>
        <v>15269.75</v>
      </c>
    </row>
    <row r="65" spans="2:20">
      <c r="C65" s="37" t="s">
        <v>49</v>
      </c>
      <c r="H65" s="110">
        <v>20000</v>
      </c>
      <c r="I65" s="110">
        <v>16000</v>
      </c>
      <c r="J65" s="110">
        <v>14000</v>
      </c>
      <c r="K65" s="110">
        <v>13000</v>
      </c>
      <c r="L65" s="110">
        <v>12500</v>
      </c>
      <c r="M65" s="110">
        <v>12500</v>
      </c>
      <c r="N65" s="110">
        <v>13000</v>
      </c>
      <c r="O65" s="110">
        <v>13500</v>
      </c>
      <c r="P65" s="110">
        <v>14000</v>
      </c>
      <c r="Q65" s="110">
        <v>14500</v>
      </c>
      <c r="R65" s="111">
        <f>Model!$T$121</f>
        <v>15269.75</v>
      </c>
    </row>
    <row r="66" spans="2:20">
      <c r="C66" s="37" t="s">
        <v>50</v>
      </c>
      <c r="H66" s="110">
        <v>24000</v>
      </c>
      <c r="I66" s="110">
        <v>17000</v>
      </c>
      <c r="J66" s="110">
        <v>15000</v>
      </c>
      <c r="K66" s="110">
        <v>14000</v>
      </c>
      <c r="L66" s="110">
        <v>13500</v>
      </c>
      <c r="M66" s="110">
        <v>13500</v>
      </c>
      <c r="N66" s="110">
        <v>14000</v>
      </c>
      <c r="O66" s="110">
        <v>14500</v>
      </c>
      <c r="P66" s="110">
        <v>15000</v>
      </c>
      <c r="Q66" s="110">
        <v>15500</v>
      </c>
      <c r="R66" s="111">
        <f>Model!$T$121</f>
        <v>15269.75</v>
      </c>
    </row>
    <row r="67" spans="2:20">
      <c r="C67" s="37" t="s">
        <v>51</v>
      </c>
      <c r="H67" s="110">
        <v>29000</v>
      </c>
      <c r="I67" s="110">
        <v>17500</v>
      </c>
      <c r="J67" s="110">
        <v>14000</v>
      </c>
      <c r="K67" s="110">
        <v>11000</v>
      </c>
      <c r="L67" s="110">
        <v>9500</v>
      </c>
      <c r="M67" s="110">
        <v>9000</v>
      </c>
      <c r="N67" s="110">
        <v>9000</v>
      </c>
      <c r="O67" s="110">
        <v>9500</v>
      </c>
      <c r="P67" s="110">
        <v>10000</v>
      </c>
      <c r="Q67" s="110">
        <v>10500</v>
      </c>
      <c r="R67" s="111">
        <f>Model!$T$121</f>
        <v>15269.75</v>
      </c>
    </row>
    <row r="69" spans="2:20">
      <c r="T69" s="33" t="s">
        <v>60</v>
      </c>
    </row>
    <row r="71" spans="2:20">
      <c r="B71" s="32" t="s">
        <v>16</v>
      </c>
      <c r="C71" s="98" t="s">
        <v>61</v>
      </c>
    </row>
    <row r="73" spans="2:20">
      <c r="C73" s="23" t="s">
        <v>62</v>
      </c>
      <c r="F73" s="33" t="s">
        <v>63</v>
      </c>
      <c r="H73" s="38">
        <v>18</v>
      </c>
      <c r="I73" s="38">
        <v>18</v>
      </c>
      <c r="J73" s="38">
        <v>18</v>
      </c>
      <c r="K73" s="38">
        <v>18</v>
      </c>
      <c r="L73" s="38">
        <v>18</v>
      </c>
      <c r="M73" s="38">
        <v>18</v>
      </c>
      <c r="N73" s="38">
        <v>18</v>
      </c>
      <c r="O73" s="38">
        <v>18</v>
      </c>
      <c r="P73" s="38">
        <v>18</v>
      </c>
      <c r="Q73" s="38">
        <v>18</v>
      </c>
      <c r="R73" s="82">
        <f>Q73</f>
        <v>18</v>
      </c>
    </row>
    <row r="74" spans="2:20">
      <c r="C74" s="23" t="s">
        <v>64</v>
      </c>
      <c r="F74" s="33" t="s">
        <v>63</v>
      </c>
      <c r="H74" s="38">
        <v>58</v>
      </c>
      <c r="I74" s="38">
        <v>58</v>
      </c>
      <c r="J74" s="38">
        <v>58</v>
      </c>
      <c r="K74" s="38">
        <v>58</v>
      </c>
      <c r="L74" s="38">
        <v>58</v>
      </c>
      <c r="M74" s="38">
        <v>58</v>
      </c>
      <c r="N74" s="38">
        <v>58</v>
      </c>
      <c r="O74" s="38">
        <v>58</v>
      </c>
      <c r="P74" s="38">
        <v>58</v>
      </c>
      <c r="Q74" s="38">
        <v>58</v>
      </c>
      <c r="R74" s="82">
        <f>Q74</f>
        <v>58</v>
      </c>
    </row>
    <row r="75" spans="2:20">
      <c r="C75" s="23" t="s">
        <v>65</v>
      </c>
      <c r="F75" s="33" t="s">
        <v>63</v>
      </c>
      <c r="H75" s="38">
        <v>62</v>
      </c>
      <c r="I75" s="38">
        <v>62</v>
      </c>
      <c r="J75" s="38">
        <v>62</v>
      </c>
      <c r="K75" s="38">
        <v>62</v>
      </c>
      <c r="L75" s="38">
        <v>62</v>
      </c>
      <c r="M75" s="38">
        <v>62</v>
      </c>
      <c r="N75" s="38">
        <v>62</v>
      </c>
      <c r="O75" s="38">
        <v>62</v>
      </c>
      <c r="P75" s="38">
        <v>62</v>
      </c>
      <c r="Q75" s="38">
        <v>62</v>
      </c>
      <c r="R75" s="82">
        <f>Q75</f>
        <v>62</v>
      </c>
    </row>
    <row r="77" spans="2:20">
      <c r="T77" s="33" t="s">
        <v>66</v>
      </c>
    </row>
    <row r="78" spans="2:20">
      <c r="T78" s="33" t="s">
        <v>67</v>
      </c>
    </row>
    <row r="81" spans="2:21">
      <c r="B81" s="30" t="s">
        <v>16</v>
      </c>
      <c r="C81" s="31" t="s">
        <v>68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3" spans="2:21">
      <c r="C83" s="33" t="s">
        <v>69</v>
      </c>
    </row>
    <row r="85" spans="2:21" ht="26.25" customHeight="1">
      <c r="C85" s="39" t="s">
        <v>70</v>
      </c>
      <c r="E85" s="39" t="s">
        <v>71</v>
      </c>
      <c r="G85" s="39" t="s">
        <v>72</v>
      </c>
      <c r="H85" s="39" t="s">
        <v>23</v>
      </c>
      <c r="I85" s="39" t="s">
        <v>73</v>
      </c>
      <c r="J85" s="39" t="s">
        <v>74</v>
      </c>
      <c r="K85" s="39" t="s">
        <v>75</v>
      </c>
      <c r="L85" s="39" t="s">
        <v>76</v>
      </c>
      <c r="M85" s="39" t="s">
        <v>77</v>
      </c>
    </row>
    <row r="87" spans="2:21">
      <c r="C87" s="25" t="s">
        <v>78</v>
      </c>
      <c r="E87" s="25" t="s">
        <v>79</v>
      </c>
      <c r="G87" s="110">
        <v>28480</v>
      </c>
      <c r="H87" s="110">
        <v>38700</v>
      </c>
      <c r="I87" s="115">
        <v>0.21</v>
      </c>
      <c r="J87" s="40">
        <f t="shared" ref="J87:J94" si="9">G87/H87</f>
        <v>0.73591731266149873</v>
      </c>
      <c r="K87" s="41">
        <f t="shared" ref="K87:K94" si="10">G87/(G87+H87)</f>
        <v>0.42393569514736529</v>
      </c>
      <c r="L87" s="42">
        <v>1.1000000000000001</v>
      </c>
      <c r="M87" s="40">
        <f t="shared" ref="M87:M94" si="11">L87/(1+(1-I87)*J87)</f>
        <v>0.69559732806964802</v>
      </c>
    </row>
    <row r="88" spans="2:21">
      <c r="C88" s="25" t="s">
        <v>80</v>
      </c>
      <c r="E88" s="25" t="s">
        <v>79</v>
      </c>
      <c r="G88" s="110">
        <v>2660</v>
      </c>
      <c r="H88" s="110">
        <v>10350</v>
      </c>
      <c r="I88" s="115">
        <v>0.21</v>
      </c>
      <c r="J88" s="40">
        <f t="shared" si="9"/>
        <v>0.25700483091787441</v>
      </c>
      <c r="K88" s="41">
        <f t="shared" si="10"/>
        <v>0.20445810914681015</v>
      </c>
      <c r="L88" s="42">
        <v>1.35</v>
      </c>
      <c r="M88" s="40">
        <f t="shared" si="11"/>
        <v>1.1221629696259054</v>
      </c>
    </row>
    <row r="89" spans="2:21">
      <c r="C89" s="25" t="s">
        <v>81</v>
      </c>
      <c r="E89" s="25" t="s">
        <v>79</v>
      </c>
      <c r="G89" s="110">
        <v>3720</v>
      </c>
      <c r="H89" s="110">
        <v>4149</v>
      </c>
      <c r="I89" s="115">
        <v>0.21</v>
      </c>
      <c r="J89" s="40">
        <f t="shared" si="9"/>
        <v>0.89660159074475776</v>
      </c>
      <c r="K89" s="41">
        <f t="shared" si="10"/>
        <v>0.47274113610369806</v>
      </c>
      <c r="L89" s="42">
        <v>2</v>
      </c>
      <c r="M89" s="40">
        <f t="shared" si="11"/>
        <v>1.1707440954880215</v>
      </c>
    </row>
    <row r="90" spans="2:21">
      <c r="C90" s="25" t="s">
        <v>82</v>
      </c>
      <c r="E90" s="25" t="s">
        <v>79</v>
      </c>
      <c r="G90" s="110">
        <v>3930</v>
      </c>
      <c r="H90" s="110">
        <v>2140</v>
      </c>
      <c r="I90" s="115">
        <v>0.21</v>
      </c>
      <c r="J90" s="40">
        <f t="shared" si="9"/>
        <v>1.8364485981308412</v>
      </c>
      <c r="K90" s="41">
        <f t="shared" si="10"/>
        <v>0.64744645799011535</v>
      </c>
      <c r="L90" s="42">
        <v>1.7</v>
      </c>
      <c r="M90" s="40">
        <f t="shared" si="11"/>
        <v>0.69365263980780589</v>
      </c>
    </row>
    <row r="91" spans="2:21">
      <c r="C91" s="25" t="s">
        <v>83</v>
      </c>
      <c r="E91" s="25" t="s">
        <v>84</v>
      </c>
      <c r="G91" s="110">
        <v>5100</v>
      </c>
      <c r="H91" s="110">
        <v>4590</v>
      </c>
      <c r="I91" s="115">
        <v>0.21</v>
      </c>
      <c r="J91" s="40">
        <f t="shared" si="9"/>
        <v>1.1111111111111112</v>
      </c>
      <c r="K91" s="41">
        <f t="shared" si="10"/>
        <v>0.52631578947368418</v>
      </c>
      <c r="L91" s="42">
        <v>2</v>
      </c>
      <c r="M91" s="40">
        <f t="shared" si="11"/>
        <v>1.0650887573964498</v>
      </c>
    </row>
    <row r="92" spans="2:21">
      <c r="C92" s="25" t="s">
        <v>85</v>
      </c>
      <c r="E92" s="25" t="s">
        <v>84</v>
      </c>
      <c r="G92" s="110">
        <v>3170</v>
      </c>
      <c r="H92" s="110">
        <v>2040</v>
      </c>
      <c r="I92" s="115">
        <v>0.21</v>
      </c>
      <c r="J92" s="40">
        <f t="shared" si="9"/>
        <v>1.553921568627451</v>
      </c>
      <c r="K92" s="41">
        <f t="shared" si="10"/>
        <v>0.60844529750479848</v>
      </c>
      <c r="L92" s="42">
        <v>1.95</v>
      </c>
      <c r="M92" s="40">
        <f t="shared" si="11"/>
        <v>0.87538234711616747</v>
      </c>
    </row>
    <row r="93" spans="2:21">
      <c r="C93" s="25" t="s">
        <v>86</v>
      </c>
      <c r="E93" s="25" t="s">
        <v>84</v>
      </c>
      <c r="G93" s="110">
        <v>127700</v>
      </c>
      <c r="H93" s="110">
        <v>63640</v>
      </c>
      <c r="I93" s="115">
        <v>0.21</v>
      </c>
      <c r="J93" s="40">
        <f t="shared" si="9"/>
        <v>2.0065996228786926</v>
      </c>
      <c r="K93" s="41">
        <f t="shared" si="10"/>
        <v>0.66739834848959967</v>
      </c>
      <c r="L93" s="42">
        <v>1.45</v>
      </c>
      <c r="M93" s="40">
        <f t="shared" si="11"/>
        <v>0.56088206512159389</v>
      </c>
    </row>
    <row r="94" spans="2:21">
      <c r="C94" s="25" t="s">
        <v>87</v>
      </c>
      <c r="E94" s="25" t="s">
        <v>84</v>
      </c>
      <c r="G94" s="110">
        <v>163300</v>
      </c>
      <c r="H94" s="110">
        <v>35760</v>
      </c>
      <c r="I94" s="115">
        <v>0.21</v>
      </c>
      <c r="J94" s="40">
        <f t="shared" si="9"/>
        <v>4.5665548098434003</v>
      </c>
      <c r="K94" s="41">
        <f t="shared" si="10"/>
        <v>0.82035567165678691</v>
      </c>
      <c r="L94" s="42">
        <v>1.55</v>
      </c>
      <c r="M94" s="40">
        <f t="shared" si="11"/>
        <v>0.33640231357007166</v>
      </c>
    </row>
    <row r="96" spans="2:21">
      <c r="H96" s="23" t="s">
        <v>88</v>
      </c>
      <c r="I96" s="43">
        <f>AVERAGE(I87:I94)</f>
        <v>0.21</v>
      </c>
      <c r="J96" s="44">
        <f>AVERAGE(J87:J94)</f>
        <v>1.6205199306144533</v>
      </c>
      <c r="K96" s="43">
        <f>AVERAGE(K87:K94)</f>
        <v>0.54638706318910724</v>
      </c>
      <c r="L96" s="44">
        <f>AVERAGE(L87:L94)</f>
        <v>1.6375</v>
      </c>
      <c r="M96" s="44">
        <f>AVERAGE(M87:M94)</f>
        <v>0.81498906452445796</v>
      </c>
    </row>
    <row r="97" spans="3:13">
      <c r="H97" s="23" t="s">
        <v>89</v>
      </c>
      <c r="I97" s="43">
        <f>MEDIAN(I87:I94)</f>
        <v>0.21</v>
      </c>
      <c r="J97" s="44">
        <f>MEDIAN(J87:J94)</f>
        <v>1.3325163398692812</v>
      </c>
      <c r="K97" s="43">
        <f>MEDIAN(K87:K94)</f>
        <v>0.56738054348924138</v>
      </c>
      <c r="L97" s="44">
        <f>MEDIAN(L87:L94)</f>
        <v>1.625</v>
      </c>
      <c r="M97" s="44">
        <f>MEDIAN(M87:M94)</f>
        <v>0.7854898375929078</v>
      </c>
    </row>
    <row r="100" spans="3:13">
      <c r="C100" s="45" t="s">
        <v>90</v>
      </c>
      <c r="I100" s="45" t="s">
        <v>91</v>
      </c>
    </row>
    <row r="102" spans="3:13">
      <c r="C102" s="25" t="s">
        <v>92</v>
      </c>
      <c r="G102" s="29">
        <v>4.4999999999999998E-2</v>
      </c>
      <c r="I102" s="25" t="s">
        <v>93</v>
      </c>
      <c r="M102" s="46">
        <v>4.2000000000000003E-2</v>
      </c>
    </row>
    <row r="103" spans="3:13">
      <c r="C103" s="25" t="s">
        <v>94</v>
      </c>
      <c r="G103" s="40">
        <f>M96</f>
        <v>0.81498906452445796</v>
      </c>
      <c r="I103" s="25" t="s">
        <v>95</v>
      </c>
      <c r="M103" s="47">
        <f>G105</f>
        <v>3.8180092964906313E-2</v>
      </c>
    </row>
    <row r="104" spans="3:13">
      <c r="C104" s="25" t="s">
        <v>96</v>
      </c>
      <c r="G104" s="40">
        <f>G103*(1+(1-M112)*G115)</f>
        <v>0.84844651033125151</v>
      </c>
      <c r="I104" s="25" t="s">
        <v>97</v>
      </c>
      <c r="M104" s="46">
        <v>0</v>
      </c>
    </row>
    <row r="105" spans="3:13">
      <c r="C105" s="25" t="s">
        <v>95</v>
      </c>
      <c r="G105" s="47">
        <f>G102*G104</f>
        <v>3.8180092964906313E-2</v>
      </c>
      <c r="I105" s="23" t="s">
        <v>91</v>
      </c>
      <c r="M105" s="48">
        <f>SUM(M102:M104)</f>
        <v>8.0180092964906316E-2</v>
      </c>
    </row>
    <row r="109" spans="3:13">
      <c r="C109" s="45" t="s">
        <v>98</v>
      </c>
      <c r="I109" s="45" t="s">
        <v>99</v>
      </c>
    </row>
    <row r="110" spans="3:13">
      <c r="F110" s="33" t="s">
        <v>100</v>
      </c>
      <c r="G110" s="33" t="s">
        <v>101</v>
      </c>
    </row>
    <row r="111" spans="3:13">
      <c r="C111" s="25" t="s">
        <v>102</v>
      </c>
      <c r="E111" s="110">
        <v>16080</v>
      </c>
      <c r="F111" s="41">
        <f>E111/$E$113</f>
        <v>1.4456987719382315E-2</v>
      </c>
      <c r="G111" s="29">
        <v>0.05</v>
      </c>
      <c r="I111" s="25" t="s">
        <v>103</v>
      </c>
      <c r="M111" s="46">
        <v>5.5E-2</v>
      </c>
    </row>
    <row r="112" spans="3:13">
      <c r="C112" s="25" t="s">
        <v>104</v>
      </c>
      <c r="E112" s="112">
        <f>G140*G141</f>
        <v>1096184.9000000001</v>
      </c>
      <c r="F112" s="41">
        <f>E112/$E$113</f>
        <v>0.98554301228061769</v>
      </c>
      <c r="G112" s="41">
        <f>1-G111</f>
        <v>0.95</v>
      </c>
      <c r="I112" s="25" t="s">
        <v>105</v>
      </c>
      <c r="M112" s="46">
        <v>0.22</v>
      </c>
    </row>
    <row r="113" spans="2:21">
      <c r="C113" s="23" t="s">
        <v>106</v>
      </c>
      <c r="E113" s="113">
        <f>SUM(E111:E112)</f>
        <v>1112264.9000000001</v>
      </c>
      <c r="F113" s="43">
        <f>SUM(F111:F112)</f>
        <v>1</v>
      </c>
      <c r="G113" s="43">
        <f>SUM(G111:G112)</f>
        <v>1</v>
      </c>
      <c r="I113" s="23" t="s">
        <v>107</v>
      </c>
      <c r="M113" s="48">
        <f>M111*(1-M112)</f>
        <v>4.2900000000000001E-2</v>
      </c>
    </row>
    <row r="115" spans="2:21">
      <c r="C115" s="25" t="s">
        <v>108</v>
      </c>
      <c r="F115" s="40">
        <f>F111/F112</f>
        <v>1.4669058112367721E-2</v>
      </c>
      <c r="G115" s="40">
        <f>G111/G112</f>
        <v>5.2631578947368425E-2</v>
      </c>
      <c r="I115" s="45" t="s">
        <v>68</v>
      </c>
    </row>
    <row r="117" spans="2:21">
      <c r="C117" s="33" t="s">
        <v>109</v>
      </c>
      <c r="L117" s="33" t="s">
        <v>110</v>
      </c>
      <c r="M117" s="33" t="s">
        <v>111</v>
      </c>
    </row>
    <row r="118" spans="2:21">
      <c r="C118" s="33" t="s">
        <v>112</v>
      </c>
      <c r="I118" s="25" t="s">
        <v>113</v>
      </c>
      <c r="L118" s="41">
        <f>G111</f>
        <v>0.05</v>
      </c>
      <c r="M118" s="47">
        <f>M113</f>
        <v>4.2900000000000001E-2</v>
      </c>
    </row>
    <row r="119" spans="2:21">
      <c r="C119" s="33" t="s">
        <v>114</v>
      </c>
      <c r="I119" s="25" t="s">
        <v>115</v>
      </c>
      <c r="L119" s="41">
        <f>G112</f>
        <v>0.95</v>
      </c>
      <c r="M119" s="47">
        <f>M105</f>
        <v>8.0180092964906316E-2</v>
      </c>
    </row>
    <row r="122" spans="2:21">
      <c r="I122" s="23" t="s">
        <v>68</v>
      </c>
      <c r="M122" s="49">
        <f>SUMPRODUCT(L118:L119,M118:M119)</f>
        <v>7.8316088316660995E-2</v>
      </c>
    </row>
    <row r="126" spans="2:21">
      <c r="B126" s="30" t="s">
        <v>16</v>
      </c>
      <c r="C126" s="31" t="s">
        <v>116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 spans="2:21">
      <c r="C127" s="33" t="s">
        <v>69</v>
      </c>
    </row>
    <row r="129" spans="3:13">
      <c r="C129" s="45" t="s">
        <v>117</v>
      </c>
      <c r="I129" s="45" t="s">
        <v>118</v>
      </c>
    </row>
    <row r="130" spans="3:13">
      <c r="C130" s="25" t="s">
        <v>119</v>
      </c>
      <c r="F130" s="33" t="s">
        <v>120</v>
      </c>
      <c r="G130" s="50">
        <v>46203</v>
      </c>
      <c r="I130" s="25" t="s">
        <v>121</v>
      </c>
      <c r="M130" s="110">
        <v>44059</v>
      </c>
    </row>
    <row r="131" spans="3:13">
      <c r="C131" s="25" t="s">
        <v>122</v>
      </c>
      <c r="F131" s="33" t="s">
        <v>120</v>
      </c>
      <c r="G131" s="50">
        <v>46387</v>
      </c>
      <c r="I131" s="25" t="s">
        <v>123</v>
      </c>
      <c r="M131" s="110">
        <v>8376</v>
      </c>
    </row>
    <row r="132" spans="3:13">
      <c r="C132" s="25" t="s">
        <v>124</v>
      </c>
      <c r="F132" s="33" t="s">
        <v>120</v>
      </c>
      <c r="G132" s="50">
        <v>46387</v>
      </c>
      <c r="I132" s="23" t="s">
        <v>30</v>
      </c>
      <c r="M132" s="113">
        <f>M131-M130</f>
        <v>-35683</v>
      </c>
    </row>
    <row r="133" spans="3:13">
      <c r="C133" s="25" t="s">
        <v>125</v>
      </c>
      <c r="F133" s="33" t="s">
        <v>126</v>
      </c>
      <c r="G133" s="51">
        <f>YEAR(G132)</f>
        <v>2026</v>
      </c>
      <c r="I133" s="25" t="s">
        <v>127</v>
      </c>
      <c r="M133" s="110">
        <v>45247</v>
      </c>
    </row>
    <row r="134" spans="3:13">
      <c r="C134" s="25" t="s">
        <v>128</v>
      </c>
      <c r="G134" s="51">
        <f>IF(G130&gt;G131,1,0)</f>
        <v>0</v>
      </c>
      <c r="I134" s="25" t="s">
        <v>129</v>
      </c>
      <c r="M134" s="110">
        <v>34000</v>
      </c>
    </row>
    <row r="135" spans="3:13">
      <c r="C135" s="25" t="s">
        <v>130</v>
      </c>
      <c r="G135" s="51">
        <f>IF(G131&gt;G132,1,0)</f>
        <v>0</v>
      </c>
      <c r="I135" s="25" t="s">
        <v>131</v>
      </c>
      <c r="M135" s="110">
        <v>0</v>
      </c>
    </row>
    <row r="136" spans="3:13">
      <c r="C136" s="25" t="s">
        <v>132</v>
      </c>
      <c r="G136" s="38">
        <v>365</v>
      </c>
      <c r="M136" s="97"/>
    </row>
    <row r="137" spans="3:13">
      <c r="M137" s="97"/>
    </row>
    <row r="138" spans="3:13">
      <c r="I138" s="45" t="s">
        <v>133</v>
      </c>
      <c r="M138" s="97"/>
    </row>
    <row r="139" spans="3:13">
      <c r="C139" s="45" t="s">
        <v>134</v>
      </c>
      <c r="I139" s="25" t="s">
        <v>135</v>
      </c>
      <c r="M139" s="110">
        <v>350</v>
      </c>
    </row>
    <row r="140" spans="3:13">
      <c r="C140" s="25" t="s">
        <v>33</v>
      </c>
      <c r="F140" s="33" t="s">
        <v>136</v>
      </c>
      <c r="G140" s="38">
        <v>3545</v>
      </c>
      <c r="I140" s="25" t="s">
        <v>137</v>
      </c>
      <c r="M140" s="29">
        <v>0.5</v>
      </c>
    </row>
    <row r="141" spans="3:13">
      <c r="C141" s="25" t="s">
        <v>36</v>
      </c>
      <c r="F141" s="33" t="s">
        <v>37</v>
      </c>
      <c r="G141" s="42">
        <v>309.22000000000003</v>
      </c>
      <c r="I141" s="25" t="s">
        <v>138</v>
      </c>
      <c r="M141" s="29">
        <v>0.2</v>
      </c>
    </row>
    <row r="142" spans="3:13">
      <c r="C142" s="25" t="s">
        <v>27</v>
      </c>
      <c r="G142" s="52">
        <v>0.03</v>
      </c>
      <c r="I142" s="25" t="s">
        <v>139</v>
      </c>
      <c r="M142" s="29">
        <v>0.5</v>
      </c>
    </row>
    <row r="143" spans="3:13">
      <c r="C143" s="25" t="s">
        <v>43</v>
      </c>
      <c r="G143" s="53">
        <v>12</v>
      </c>
      <c r="I143" s="25" t="s">
        <v>140</v>
      </c>
      <c r="L143" s="33" t="s">
        <v>141</v>
      </c>
      <c r="M143" s="38">
        <v>8</v>
      </c>
    </row>
    <row r="144" spans="3:13">
      <c r="C144" s="25" t="s">
        <v>142</v>
      </c>
      <c r="G144" s="47">
        <f>M122</f>
        <v>7.8316088316660995E-2</v>
      </c>
      <c r="I144" s="25" t="s">
        <v>143</v>
      </c>
      <c r="L144" s="33" t="s">
        <v>141</v>
      </c>
      <c r="M144" s="38">
        <v>10</v>
      </c>
    </row>
    <row r="145" spans="3:9">
      <c r="C145" s="25" t="s">
        <v>144</v>
      </c>
      <c r="G145" s="51">
        <f>IF(G142&gt;=G144,1,0)</f>
        <v>0</v>
      </c>
    </row>
    <row r="147" spans="3:9">
      <c r="I147" s="33" t="s">
        <v>145</v>
      </c>
    </row>
    <row r="148" spans="3:9">
      <c r="I148" s="33" t="s">
        <v>146</v>
      </c>
    </row>
    <row r="149" spans="3:9">
      <c r="I149" s="33" t="s">
        <v>147</v>
      </c>
    </row>
    <row r="150" spans="3:9">
      <c r="I150" s="33" t="s">
        <v>148</v>
      </c>
    </row>
    <row r="151" spans="3:9">
      <c r="I151" s="33" t="s">
        <v>149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Drop Down 2">
              <controlPr defaultSize="0" autoLine="0" autoPict="0">
                <anchor moveWithCells="1">
                  <from>
                    <xdr:col>2</xdr:col>
                    <xdr:colOff>2476500</xdr:colOff>
                    <xdr:row>9</xdr:row>
                    <xdr:rowOff>190500</xdr:rowOff>
                  </from>
                  <to>
                    <xdr:col>5</xdr:col>
                    <xdr:colOff>381000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8"/>
  <sheetViews>
    <sheetView showGridLines="0" zoomScale="80" zoomScaleNormal="80" workbookViewId="0">
      <pane ySplit="1" topLeftCell="A2" activePane="bottomLeft" state="frozen"/>
      <selection pane="bottomLeft" activeCell="J214" sqref="J214"/>
    </sheetView>
  </sheetViews>
  <sheetFormatPr defaultColWidth="8.7109375" defaultRowHeight="15.75"/>
  <cols>
    <col min="1" max="1" width="8.7109375" style="56" customWidth="1"/>
    <col min="2" max="2" width="2.42578125" style="56" customWidth="1"/>
    <col min="3" max="3" width="42" style="56" customWidth="1"/>
    <col min="4" max="4" width="11" style="56" customWidth="1"/>
    <col min="5" max="5" width="13" style="56" customWidth="1"/>
    <col min="6" max="6" width="2.42578125" style="56" customWidth="1"/>
    <col min="7" max="20" width="12" style="56" customWidth="1"/>
    <col min="21" max="21" width="3" style="56" customWidth="1"/>
    <col min="22" max="23" width="8.7109375" style="56" customWidth="1"/>
  </cols>
  <sheetData>
    <row r="1" spans="1:21" s="118" customFormat="1" ht="69.75" customHeight="1">
      <c r="A1" s="117"/>
      <c r="B1" s="117"/>
      <c r="C1" s="119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8" spans="1:21" ht="20.25" customHeight="1">
      <c r="B8" s="58" t="s">
        <v>16</v>
      </c>
      <c r="C8" s="27" t="s">
        <v>150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10" spans="1:21">
      <c r="C10" s="33" t="s">
        <v>19</v>
      </c>
      <c r="G10" s="84">
        <v>2023</v>
      </c>
      <c r="H10" s="84">
        <v>2024</v>
      </c>
      <c r="I10" s="84">
        <v>2025</v>
      </c>
      <c r="J10" s="84">
        <f>Inputs!H$13</f>
        <v>2026</v>
      </c>
      <c r="K10" s="84">
        <f>Inputs!I$13</f>
        <v>2027</v>
      </c>
      <c r="L10" s="84">
        <f>Inputs!J$13</f>
        <v>2028</v>
      </c>
      <c r="M10" s="84">
        <f>Inputs!K$13</f>
        <v>2029</v>
      </c>
      <c r="N10" s="84">
        <f>Inputs!L$13</f>
        <v>2030</v>
      </c>
      <c r="O10" s="84">
        <f>Inputs!M$13</f>
        <v>2031</v>
      </c>
      <c r="P10" s="84">
        <f>Inputs!N$13</f>
        <v>2032</v>
      </c>
      <c r="Q10" s="84">
        <f>Inputs!O$13</f>
        <v>2033</v>
      </c>
      <c r="R10" s="84">
        <f>Inputs!P$13</f>
        <v>2034</v>
      </c>
      <c r="S10" s="84">
        <f>Inputs!Q$13</f>
        <v>2035</v>
      </c>
      <c r="T10" s="84" t="s">
        <v>47</v>
      </c>
    </row>
    <row r="11" spans="1:21">
      <c r="C11" s="45" t="str">
        <f>IF(Inputs!$E$11=1,"Best Case Selected",IF(Inputs!$E$11=2,"Base Case Selected","Worst Case Selected"))</f>
        <v>Base Case Selected</v>
      </c>
    </row>
    <row r="13" spans="1:21">
      <c r="C13" s="60" t="s">
        <v>48</v>
      </c>
      <c r="H13" s="72">
        <f>H14/G14-1</f>
        <v>-1.0701760109168457E-2</v>
      </c>
      <c r="I13" s="72">
        <f>I14/H14-1</f>
        <v>-8.5566049230225816E-2</v>
      </c>
      <c r="J13" s="65">
        <f>Inputs!H16</f>
        <v>0.13</v>
      </c>
      <c r="K13" s="65">
        <f>Inputs!I16</f>
        <v>0.1</v>
      </c>
      <c r="L13" s="65">
        <f>Inputs!J16</f>
        <v>0.09</v>
      </c>
      <c r="M13" s="65">
        <f>Inputs!K16</f>
        <v>0.08</v>
      </c>
      <c r="N13" s="65">
        <f>Inputs!L16</f>
        <v>7.0000000000000007E-2</v>
      </c>
      <c r="O13" s="65">
        <f>Inputs!M16</f>
        <v>0.06</v>
      </c>
      <c r="P13" s="65">
        <f>Inputs!N16</f>
        <v>5.5E-2</v>
      </c>
      <c r="Q13" s="65">
        <f>Inputs!O16</f>
        <v>0.05</v>
      </c>
      <c r="R13" s="65">
        <f>Inputs!P16</f>
        <v>0.04</v>
      </c>
      <c r="S13" s="65">
        <f>Inputs!Q16</f>
        <v>3.5000000000000003E-2</v>
      </c>
      <c r="T13" s="65">
        <f>Inputs!R16</f>
        <v>0.03</v>
      </c>
    </row>
    <row r="14" spans="1:21">
      <c r="C14" s="64" t="s">
        <v>151</v>
      </c>
      <c r="E14" s="33" t="s">
        <v>152</v>
      </c>
      <c r="G14" s="85">
        <v>1808581</v>
      </c>
      <c r="H14" s="85">
        <v>1789226</v>
      </c>
      <c r="I14" s="85">
        <v>1636129</v>
      </c>
      <c r="J14" s="86">
        <f t="shared" ref="J14:T14" si="0">I14*(1+J13)</f>
        <v>1848825.7699999998</v>
      </c>
      <c r="K14" s="86">
        <f t="shared" si="0"/>
        <v>2033708.3469999998</v>
      </c>
      <c r="L14" s="86">
        <f t="shared" si="0"/>
        <v>2216742.0982300001</v>
      </c>
      <c r="M14" s="86">
        <f t="shared" si="0"/>
        <v>2394081.4660884002</v>
      </c>
      <c r="N14" s="86">
        <f t="shared" si="0"/>
        <v>2561667.1687145885</v>
      </c>
      <c r="O14" s="86">
        <f t="shared" si="0"/>
        <v>2715367.1988374637</v>
      </c>
      <c r="P14" s="86">
        <f t="shared" si="0"/>
        <v>2864712.3947735243</v>
      </c>
      <c r="Q14" s="86">
        <f t="shared" si="0"/>
        <v>3007948.0145122004</v>
      </c>
      <c r="R14" s="86">
        <f t="shared" si="0"/>
        <v>3128265.9350926885</v>
      </c>
      <c r="S14" s="86">
        <f t="shared" si="0"/>
        <v>3237755.2428209325</v>
      </c>
      <c r="T14" s="86">
        <f t="shared" si="0"/>
        <v>3334887.9001055607</v>
      </c>
    </row>
    <row r="16" spans="1:21">
      <c r="C16" s="60" t="s">
        <v>52</v>
      </c>
      <c r="H16" s="72">
        <f>H17/G17-1</f>
        <v>-5.4784615421303529E-2</v>
      </c>
      <c r="I16" s="72">
        <f>I17/H17-1</f>
        <v>-1.3471711471142123E-2</v>
      </c>
      <c r="J16" s="65">
        <f>Inputs!H22</f>
        <v>-0.02</v>
      </c>
      <c r="K16" s="65">
        <f>Inputs!I22</f>
        <v>-1.4999999999999999E-2</v>
      </c>
      <c r="L16" s="65">
        <f>Inputs!J22</f>
        <v>-0.01</v>
      </c>
      <c r="M16" s="65">
        <f>Inputs!K22</f>
        <v>-5.0000000000000001E-3</v>
      </c>
      <c r="N16" s="65">
        <f>Inputs!L22</f>
        <v>0</v>
      </c>
      <c r="O16" s="65">
        <f>Inputs!M22</f>
        <v>5.0000000000000001E-3</v>
      </c>
      <c r="P16" s="65">
        <f>Inputs!N22</f>
        <v>5.0000000000000001E-3</v>
      </c>
      <c r="Q16" s="65">
        <f>Inputs!O22</f>
        <v>0.01</v>
      </c>
      <c r="R16" s="65">
        <f>Inputs!P22</f>
        <v>0.01</v>
      </c>
      <c r="S16" s="65">
        <f>Inputs!Q22</f>
        <v>0.01</v>
      </c>
      <c r="T16" s="65">
        <f>Inputs!R22</f>
        <v>0.01</v>
      </c>
    </row>
    <row r="17" spans="3:20">
      <c r="C17" s="64" t="s">
        <v>153</v>
      </c>
      <c r="E17" s="33" t="s">
        <v>154</v>
      </c>
      <c r="G17" s="86">
        <f>G19*1000000/G14</f>
        <v>45571.085840225016</v>
      </c>
      <c r="H17" s="86">
        <f>H19*1000000/H14</f>
        <v>43074.49142813708</v>
      </c>
      <c r="I17" s="86">
        <f>I19*1000000/I14</f>
        <v>42494.204307851032</v>
      </c>
      <c r="J17" s="86">
        <f t="shared" ref="J17:T17" si="1">I17*(1+J16)</f>
        <v>41644.320221694012</v>
      </c>
      <c r="K17" s="86">
        <f t="shared" si="1"/>
        <v>41019.655418368602</v>
      </c>
      <c r="L17" s="86">
        <f t="shared" si="1"/>
        <v>40609.458864184919</v>
      </c>
      <c r="M17" s="86">
        <f t="shared" si="1"/>
        <v>40406.411569863994</v>
      </c>
      <c r="N17" s="86">
        <f t="shared" si="1"/>
        <v>40406.411569863994</v>
      </c>
      <c r="O17" s="86">
        <f t="shared" si="1"/>
        <v>40608.443627713314</v>
      </c>
      <c r="P17" s="86">
        <f t="shared" si="1"/>
        <v>40811.485845851879</v>
      </c>
      <c r="Q17" s="86">
        <f t="shared" si="1"/>
        <v>41219.600704310396</v>
      </c>
      <c r="R17" s="86">
        <f t="shared" si="1"/>
        <v>41631.796711353498</v>
      </c>
      <c r="S17" s="86">
        <f t="shared" si="1"/>
        <v>42048.114678467035</v>
      </c>
      <c r="T17" s="86">
        <f t="shared" si="1"/>
        <v>42468.595825251708</v>
      </c>
    </row>
    <row r="19" spans="3:20">
      <c r="C19" s="60" t="s">
        <v>155</v>
      </c>
      <c r="G19" s="85">
        <v>82419</v>
      </c>
      <c r="H19" s="85">
        <v>77070</v>
      </c>
      <c r="I19" s="85">
        <v>69526</v>
      </c>
      <c r="J19" s="86">
        <f t="shared" ref="J19:T19" si="2">J14*J17/1000000</f>
        <v>76993.092399999994</v>
      </c>
      <c r="K19" s="86">
        <f t="shared" si="2"/>
        <v>83422.0156154</v>
      </c>
      <c r="L19" s="86">
        <f t="shared" si="2"/>
        <v>90020.69705057815</v>
      </c>
      <c r="M19" s="86">
        <f t="shared" si="2"/>
        <v>96736.241050551282</v>
      </c>
      <c r="N19" s="86">
        <f t="shared" si="2"/>
        <v>103507.7779240899</v>
      </c>
      <c r="O19" s="86">
        <f t="shared" si="2"/>
        <v>110266.83582253296</v>
      </c>
      <c r="P19" s="86">
        <f t="shared" si="2"/>
        <v>116913.16935173613</v>
      </c>
      <c r="Q19" s="86">
        <f t="shared" si="2"/>
        <v>123986.41609751616</v>
      </c>
      <c r="R19" s="86">
        <f t="shared" si="2"/>
        <v>130235.33146883096</v>
      </c>
      <c r="S19" s="86">
        <f t="shared" si="2"/>
        <v>136141.50375094244</v>
      </c>
      <c r="T19" s="86">
        <f t="shared" si="2"/>
        <v>141628.00635210544</v>
      </c>
    </row>
    <row r="21" spans="3:20">
      <c r="C21" s="60" t="s">
        <v>53</v>
      </c>
      <c r="H21" s="72">
        <f>H22/G22-1</f>
        <v>0.67125103562551791</v>
      </c>
      <c r="I21" s="72">
        <f>I22/H22-1</f>
        <v>0.26621058893515759</v>
      </c>
      <c r="J21" s="65">
        <f>Inputs!H28</f>
        <v>0.18</v>
      </c>
      <c r="K21" s="65">
        <f>Inputs!I28</f>
        <v>0.33</v>
      </c>
      <c r="L21" s="65">
        <f>Inputs!J28</f>
        <v>0.22</v>
      </c>
      <c r="M21" s="65">
        <f>Inputs!K28</f>
        <v>0.18</v>
      </c>
      <c r="N21" s="65">
        <f>Inputs!L28</f>
        <v>0.15</v>
      </c>
      <c r="O21" s="65">
        <f>Inputs!M28</f>
        <v>0.13</v>
      </c>
      <c r="P21" s="65">
        <f>Inputs!N28</f>
        <v>0.11</v>
      </c>
      <c r="Q21" s="65">
        <f>Inputs!O28</f>
        <v>0.09</v>
      </c>
      <c r="R21" s="65">
        <f>Inputs!P28</f>
        <v>7.0000000000000007E-2</v>
      </c>
      <c r="S21" s="65">
        <f>Inputs!Q28</f>
        <v>0.06</v>
      </c>
      <c r="T21" s="65">
        <f>Inputs!R28</f>
        <v>0.05</v>
      </c>
    </row>
    <row r="22" spans="3:20">
      <c r="C22" s="60" t="s">
        <v>156</v>
      </c>
      <c r="G22" s="85">
        <v>6035</v>
      </c>
      <c r="H22" s="85">
        <v>10086</v>
      </c>
      <c r="I22" s="85">
        <v>12771</v>
      </c>
      <c r="J22" s="86">
        <f t="shared" ref="J22:T22" si="3">I22*(1+J21)</f>
        <v>15069.779999999999</v>
      </c>
      <c r="K22" s="86">
        <f t="shared" si="3"/>
        <v>20042.807399999998</v>
      </c>
      <c r="L22" s="86">
        <f t="shared" si="3"/>
        <v>24452.225027999997</v>
      </c>
      <c r="M22" s="86">
        <f t="shared" si="3"/>
        <v>28853.625533039994</v>
      </c>
      <c r="N22" s="86">
        <f t="shared" si="3"/>
        <v>33181.669362995992</v>
      </c>
      <c r="O22" s="86">
        <f t="shared" si="3"/>
        <v>37495.286380185469</v>
      </c>
      <c r="P22" s="86">
        <f t="shared" si="3"/>
        <v>41619.767882005872</v>
      </c>
      <c r="Q22" s="86">
        <f t="shared" si="3"/>
        <v>45365.546991386407</v>
      </c>
      <c r="R22" s="86">
        <f t="shared" si="3"/>
        <v>48541.135280783456</v>
      </c>
      <c r="S22" s="86">
        <f t="shared" si="3"/>
        <v>51453.603397630468</v>
      </c>
      <c r="T22" s="86">
        <f t="shared" si="3"/>
        <v>54026.283567511993</v>
      </c>
    </row>
    <row r="24" spans="3:20">
      <c r="C24" s="60" t="s">
        <v>157</v>
      </c>
      <c r="H24" s="72">
        <f>H25/G25-1</f>
        <v>0.26625796369755972</v>
      </c>
      <c r="I24" s="72">
        <f>I25/H25-1</f>
        <v>0.18948167837478636</v>
      </c>
      <c r="J24" s="65">
        <f>Inputs!H34</f>
        <v>0.3</v>
      </c>
      <c r="K24" s="65">
        <f>Inputs!I34</f>
        <v>0.19</v>
      </c>
      <c r="L24" s="65">
        <f>Inputs!J34</f>
        <v>0.3</v>
      </c>
      <c r="M24" s="65">
        <f>Inputs!K34</f>
        <v>0.28000000000000003</v>
      </c>
      <c r="N24" s="65">
        <f>Inputs!L34</f>
        <v>0.25</v>
      </c>
      <c r="O24" s="65">
        <f>Inputs!M34</f>
        <v>0.2</v>
      </c>
      <c r="P24" s="65">
        <f>Inputs!N34</f>
        <v>0.16</v>
      </c>
      <c r="Q24" s="65">
        <f>Inputs!O34</f>
        <v>0.13</v>
      </c>
      <c r="R24" s="65">
        <f>Inputs!P34</f>
        <v>0.1</v>
      </c>
      <c r="S24" s="65">
        <f>Inputs!Q34</f>
        <v>0.08</v>
      </c>
      <c r="T24" s="65">
        <f>Inputs!R34</f>
        <v>0.05</v>
      </c>
    </row>
    <row r="25" spans="3:20">
      <c r="C25" s="60" t="s">
        <v>158</v>
      </c>
      <c r="G25" s="85">
        <v>8319</v>
      </c>
      <c r="H25" s="85">
        <v>10534</v>
      </c>
      <c r="I25" s="85">
        <v>12530</v>
      </c>
      <c r="J25" s="86">
        <f t="shared" ref="J25:T25" si="4">I25*(1+J24)</f>
        <v>16289</v>
      </c>
      <c r="K25" s="86">
        <f t="shared" si="4"/>
        <v>19383.91</v>
      </c>
      <c r="L25" s="86">
        <f t="shared" si="4"/>
        <v>25199.083000000002</v>
      </c>
      <c r="M25" s="86">
        <f t="shared" si="4"/>
        <v>32254.826240000002</v>
      </c>
      <c r="N25" s="86">
        <f t="shared" si="4"/>
        <v>40318.532800000001</v>
      </c>
      <c r="O25" s="86">
        <f t="shared" si="4"/>
        <v>48382.23936</v>
      </c>
      <c r="P25" s="86">
        <f t="shared" si="4"/>
        <v>56123.397657599999</v>
      </c>
      <c r="Q25" s="86">
        <f t="shared" si="4"/>
        <v>63419.43935308799</v>
      </c>
      <c r="R25" s="86">
        <f t="shared" si="4"/>
        <v>69761.383288396799</v>
      </c>
      <c r="S25" s="86">
        <f t="shared" si="4"/>
        <v>75342.293951468542</v>
      </c>
      <c r="T25" s="86">
        <f t="shared" si="4"/>
        <v>79109.408649041972</v>
      </c>
    </row>
    <row r="27" spans="3:20">
      <c r="C27" s="60" t="s">
        <v>159</v>
      </c>
      <c r="G27" s="93">
        <f t="shared" ref="G27:T27" si="5">G19+G22+G25</f>
        <v>96773</v>
      </c>
      <c r="H27" s="93">
        <f t="shared" si="5"/>
        <v>97690</v>
      </c>
      <c r="I27" s="93">
        <f t="shared" si="5"/>
        <v>94827</v>
      </c>
      <c r="J27" s="93">
        <f t="shared" si="5"/>
        <v>108351.87239999999</v>
      </c>
      <c r="K27" s="93">
        <f t="shared" si="5"/>
        <v>122848.73301540001</v>
      </c>
      <c r="L27" s="93">
        <f t="shared" si="5"/>
        <v>139672.00507857816</v>
      </c>
      <c r="M27" s="93">
        <f t="shared" si="5"/>
        <v>157844.69282359126</v>
      </c>
      <c r="N27" s="93">
        <f t="shared" si="5"/>
        <v>177007.98008708586</v>
      </c>
      <c r="O27" s="93">
        <f t="shared" si="5"/>
        <v>196144.36156271843</v>
      </c>
      <c r="P27" s="93">
        <f t="shared" si="5"/>
        <v>214656.334891342</v>
      </c>
      <c r="Q27" s="93">
        <f t="shared" si="5"/>
        <v>232771.40244199056</v>
      </c>
      <c r="R27" s="93">
        <f t="shared" si="5"/>
        <v>248537.85003801121</v>
      </c>
      <c r="S27" s="93">
        <f t="shared" si="5"/>
        <v>262937.40110004146</v>
      </c>
      <c r="T27" s="93">
        <f t="shared" si="5"/>
        <v>274763.69856865943</v>
      </c>
    </row>
    <row r="28" spans="3:20">
      <c r="C28" s="64" t="s">
        <v>160</v>
      </c>
      <c r="H28" s="72">
        <f t="shared" ref="H28:T28" si="6">H27/G27-1</f>
        <v>9.4757835346634955E-3</v>
      </c>
      <c r="I28" s="72">
        <f t="shared" si="6"/>
        <v>-2.9306991503736279E-2</v>
      </c>
      <c r="J28" s="72">
        <f t="shared" si="6"/>
        <v>0.14262680882027268</v>
      </c>
      <c r="K28" s="72">
        <f t="shared" si="6"/>
        <v>0.13379427871705163</v>
      </c>
      <c r="L28" s="72">
        <f t="shared" si="6"/>
        <v>0.13694298386511838</v>
      </c>
      <c r="M28" s="72">
        <f t="shared" si="6"/>
        <v>0.13010973626955025</v>
      </c>
      <c r="N28" s="72">
        <f t="shared" si="6"/>
        <v>0.12140596507043577</v>
      </c>
      <c r="O28" s="72">
        <f t="shared" si="6"/>
        <v>0.10811027540237284</v>
      </c>
      <c r="P28" s="72">
        <f t="shared" si="6"/>
        <v>9.4379329495557496E-2</v>
      </c>
      <c r="Q28" s="72">
        <f t="shared" si="6"/>
        <v>8.4391022327937826E-2</v>
      </c>
      <c r="R28" s="72">
        <f t="shared" si="6"/>
        <v>6.7733610875802652E-2</v>
      </c>
      <c r="S28" s="72">
        <f t="shared" si="6"/>
        <v>5.79370548985918E-2</v>
      </c>
      <c r="T28" s="72">
        <f t="shared" si="6"/>
        <v>4.4977616037660484E-2</v>
      </c>
    </row>
    <row r="30" spans="3:20">
      <c r="C30" s="33" t="s">
        <v>161</v>
      </c>
      <c r="G30" s="83">
        <f t="shared" ref="G30:T30" si="7">G19/G27</f>
        <v>0.85167350397321562</v>
      </c>
      <c r="H30" s="83">
        <f t="shared" si="7"/>
        <v>0.78892414781451525</v>
      </c>
      <c r="I30" s="83">
        <f t="shared" si="7"/>
        <v>0.73318780516097737</v>
      </c>
      <c r="J30" s="83">
        <f t="shared" si="7"/>
        <v>0.71058386619999014</v>
      </c>
      <c r="K30" s="83">
        <f t="shared" si="7"/>
        <v>0.67906288952074434</v>
      </c>
      <c r="L30" s="83">
        <f t="shared" si="7"/>
        <v>0.6445149620350431</v>
      </c>
      <c r="M30" s="83">
        <f t="shared" si="7"/>
        <v>0.61285710225724621</v>
      </c>
      <c r="N30" s="83">
        <f t="shared" si="7"/>
        <v>0.58476334159152188</v>
      </c>
      <c r="O30" s="83">
        <f t="shared" si="7"/>
        <v>0.56217183580510122</v>
      </c>
      <c r="P30" s="83">
        <f t="shared" si="7"/>
        <v>0.54465277910813581</v>
      </c>
      <c r="Q30" s="83">
        <f t="shared" si="7"/>
        <v>0.53265313005284265</v>
      </c>
      <c r="R30" s="83">
        <f t="shared" si="7"/>
        <v>0.52400602744778257</v>
      </c>
      <c r="S30" s="83">
        <f t="shared" si="7"/>
        <v>0.51777154250925228</v>
      </c>
      <c r="T30" s="83">
        <f t="shared" si="7"/>
        <v>0.51545385030808455</v>
      </c>
    </row>
    <row r="31" spans="3:20">
      <c r="C31" s="33" t="s">
        <v>162</v>
      </c>
      <c r="G31" s="83">
        <f t="shared" ref="G31:T31" si="8">G22/G27</f>
        <v>6.2362435803374909E-2</v>
      </c>
      <c r="H31" s="83">
        <f t="shared" si="8"/>
        <v>0.10324495854232778</v>
      </c>
      <c r="I31" s="83">
        <f t="shared" si="8"/>
        <v>0.13467683254769211</v>
      </c>
      <c r="J31" s="83">
        <f t="shared" si="8"/>
        <v>0.13908186048107463</v>
      </c>
      <c r="K31" s="83">
        <f t="shared" si="8"/>
        <v>0.16315029799686645</v>
      </c>
      <c r="L31" s="83">
        <f t="shared" si="8"/>
        <v>0.17506890528451571</v>
      </c>
      <c r="M31" s="83">
        <f t="shared" si="8"/>
        <v>0.18279756523259913</v>
      </c>
      <c r="N31" s="83">
        <f t="shared" si="8"/>
        <v>0.18745860693213379</v>
      </c>
      <c r="O31" s="83">
        <f t="shared" si="8"/>
        <v>0.19116168357557456</v>
      </c>
      <c r="P31" s="83">
        <f t="shared" si="8"/>
        <v>0.19389023810116573</v>
      </c>
      <c r="Q31" s="83">
        <f t="shared" si="8"/>
        <v>0.19489312911920978</v>
      </c>
      <c r="R31" s="83">
        <f t="shared" si="8"/>
        <v>0.19530681251712609</v>
      </c>
      <c r="S31" s="83">
        <f t="shared" si="8"/>
        <v>0.19568765486524906</v>
      </c>
      <c r="T31" s="83">
        <f t="shared" si="8"/>
        <v>0.19662817122113974</v>
      </c>
    </row>
    <row r="32" spans="3:20">
      <c r="C32" s="33" t="s">
        <v>163</v>
      </c>
      <c r="G32" s="83">
        <f t="shared" ref="G32:T32" si="9">G25/G27</f>
        <v>8.5964060223409425E-2</v>
      </c>
      <c r="H32" s="83">
        <f t="shared" si="9"/>
        <v>0.10783089364315693</v>
      </c>
      <c r="I32" s="83">
        <f t="shared" si="9"/>
        <v>0.13213536229133052</v>
      </c>
      <c r="J32" s="83">
        <f t="shared" si="9"/>
        <v>0.15033427331893529</v>
      </c>
      <c r="K32" s="83">
        <f t="shared" si="9"/>
        <v>0.15778681248238907</v>
      </c>
      <c r="L32" s="83">
        <f t="shared" si="9"/>
        <v>0.1804161326804411</v>
      </c>
      <c r="M32" s="83">
        <f t="shared" si="9"/>
        <v>0.2043453325101548</v>
      </c>
      <c r="N32" s="83">
        <f t="shared" si="9"/>
        <v>0.22777805147634447</v>
      </c>
      <c r="O32" s="83">
        <f t="shared" si="9"/>
        <v>0.24666648061932417</v>
      </c>
      <c r="P32" s="83">
        <f t="shared" si="9"/>
        <v>0.2614569827906984</v>
      </c>
      <c r="Q32" s="83">
        <f t="shared" si="9"/>
        <v>0.2724537408279476</v>
      </c>
      <c r="R32" s="83">
        <f t="shared" si="9"/>
        <v>0.28068716003509142</v>
      </c>
      <c r="S32" s="83">
        <f t="shared" si="9"/>
        <v>0.28654080262549864</v>
      </c>
      <c r="T32" s="83">
        <f t="shared" si="9"/>
        <v>0.28791797847077566</v>
      </c>
    </row>
    <row r="34" spans="2:21">
      <c r="C34" s="33" t="s">
        <v>164</v>
      </c>
    </row>
    <row r="36" spans="2:21" ht="20.25" customHeight="1">
      <c r="B36" s="58" t="s">
        <v>16</v>
      </c>
      <c r="C36" s="27" t="s">
        <v>165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8" spans="2:21">
      <c r="C38" s="33" t="s">
        <v>19</v>
      </c>
      <c r="G38" s="84">
        <v>2023</v>
      </c>
      <c r="H38" s="84">
        <v>2024</v>
      </c>
      <c r="I38" s="84">
        <v>2025</v>
      </c>
      <c r="J38" s="84">
        <f>Inputs!H$13</f>
        <v>2026</v>
      </c>
      <c r="K38" s="84">
        <f>Inputs!I$13</f>
        <v>2027</v>
      </c>
      <c r="L38" s="84">
        <f>Inputs!J$13</f>
        <v>2028</v>
      </c>
      <c r="M38" s="84">
        <f>Inputs!K$13</f>
        <v>2029</v>
      </c>
      <c r="N38" s="84">
        <f>Inputs!L$13</f>
        <v>2030</v>
      </c>
      <c r="O38" s="84">
        <f>Inputs!M$13</f>
        <v>2031</v>
      </c>
      <c r="P38" s="84">
        <f>Inputs!N$13</f>
        <v>2032</v>
      </c>
      <c r="Q38" s="84">
        <f>Inputs!O$13</f>
        <v>2033</v>
      </c>
      <c r="R38" s="84">
        <f>Inputs!P$13</f>
        <v>2034</v>
      </c>
      <c r="S38" s="84">
        <f>Inputs!Q$13</f>
        <v>2035</v>
      </c>
      <c r="T38" s="84" t="s">
        <v>47</v>
      </c>
    </row>
    <row r="39" spans="2:21">
      <c r="C39" s="45" t="str">
        <f>IF(Inputs!$E$11=1,"Best Case Selected",IF(Inputs!$E$11=2,"Base Case Selected","Worst Case Selected"))</f>
        <v>Base Case Selected</v>
      </c>
    </row>
    <row r="41" spans="2:21">
      <c r="C41" s="60" t="s">
        <v>55</v>
      </c>
      <c r="G41" s="72">
        <f>1-G42/G19</f>
        <v>0.19449398803673912</v>
      </c>
      <c r="H41" s="72">
        <f>1-H42/H19</f>
        <v>0.18420916050343838</v>
      </c>
      <c r="I41" s="72">
        <f>1-I42/I19</f>
        <v>0.17778960388919252</v>
      </c>
      <c r="J41" s="65">
        <f>Inputs!H40</f>
        <v>0.18</v>
      </c>
      <c r="K41" s="65">
        <f>Inputs!I40</f>
        <v>0.19</v>
      </c>
      <c r="L41" s="65">
        <f>Inputs!J40</f>
        <v>0.25</v>
      </c>
      <c r="M41" s="65">
        <f>Inputs!K40</f>
        <v>0.255</v>
      </c>
      <c r="N41" s="65">
        <f>Inputs!L40</f>
        <v>0.26</v>
      </c>
      <c r="O41" s="65">
        <f>Inputs!M40</f>
        <v>0.26500000000000001</v>
      </c>
      <c r="P41" s="65">
        <f>Inputs!N40</f>
        <v>0.27</v>
      </c>
      <c r="Q41" s="65">
        <f>Inputs!O40</f>
        <v>0.27</v>
      </c>
      <c r="R41" s="65">
        <f>Inputs!P40</f>
        <v>0.27500000000000002</v>
      </c>
      <c r="S41" s="65">
        <f>Inputs!Q40</f>
        <v>0.27500000000000002</v>
      </c>
      <c r="T41" s="65">
        <f>Inputs!R40</f>
        <v>0.27500000000000002</v>
      </c>
    </row>
    <row r="42" spans="2:21">
      <c r="C42" s="64" t="s">
        <v>166</v>
      </c>
      <c r="G42" s="100">
        <v>66389</v>
      </c>
      <c r="H42" s="100">
        <v>62873</v>
      </c>
      <c r="I42" s="100">
        <v>57165</v>
      </c>
      <c r="J42" s="101">
        <f t="shared" ref="J42:T42" si="10">J19*(1-J41)</f>
        <v>63134.335767999997</v>
      </c>
      <c r="K42" s="101">
        <f t="shared" si="10"/>
        <v>67571.83264847401</v>
      </c>
      <c r="L42" s="101">
        <f t="shared" si="10"/>
        <v>67515.522787933616</v>
      </c>
      <c r="M42" s="101">
        <f t="shared" si="10"/>
        <v>72068.499582660705</v>
      </c>
      <c r="N42" s="101">
        <f t="shared" si="10"/>
        <v>76595.755663826523</v>
      </c>
      <c r="O42" s="101">
        <f t="shared" si="10"/>
        <v>81046.124329561717</v>
      </c>
      <c r="P42" s="101">
        <f t="shared" si="10"/>
        <v>85346.613626767372</v>
      </c>
      <c r="Q42" s="101">
        <f t="shared" si="10"/>
        <v>90510.083751186801</v>
      </c>
      <c r="R42" s="101">
        <f t="shared" si="10"/>
        <v>94420.615314902447</v>
      </c>
      <c r="S42" s="101">
        <f t="shared" si="10"/>
        <v>98702.590219433274</v>
      </c>
      <c r="T42" s="101">
        <f t="shared" si="10"/>
        <v>102680.30460527644</v>
      </c>
    </row>
    <row r="43" spans="2:21">
      <c r="C43" s="64" t="s">
        <v>167</v>
      </c>
      <c r="G43" s="101">
        <f t="shared" ref="G43:T43" si="11">G19-G42</f>
        <v>16030</v>
      </c>
      <c r="H43" s="101">
        <f t="shared" si="11"/>
        <v>14197</v>
      </c>
      <c r="I43" s="101">
        <f t="shared" si="11"/>
        <v>12361</v>
      </c>
      <c r="J43" s="101">
        <f t="shared" si="11"/>
        <v>13858.756631999997</v>
      </c>
      <c r="K43" s="101">
        <f t="shared" si="11"/>
        <v>15850.18296692599</v>
      </c>
      <c r="L43" s="101">
        <f t="shared" si="11"/>
        <v>22505.174262644534</v>
      </c>
      <c r="M43" s="101">
        <f t="shared" si="11"/>
        <v>24667.741467890577</v>
      </c>
      <c r="N43" s="101">
        <f t="shared" si="11"/>
        <v>26912.022260263373</v>
      </c>
      <c r="O43" s="101">
        <f t="shared" si="11"/>
        <v>29220.711492971241</v>
      </c>
      <c r="P43" s="101">
        <f t="shared" si="11"/>
        <v>31566.555724968755</v>
      </c>
      <c r="Q43" s="101">
        <f t="shared" si="11"/>
        <v>33476.332346329364</v>
      </c>
      <c r="R43" s="101">
        <f t="shared" si="11"/>
        <v>35814.716153928515</v>
      </c>
      <c r="S43" s="101">
        <f t="shared" si="11"/>
        <v>37438.91353150917</v>
      </c>
      <c r="T43" s="101">
        <f t="shared" si="11"/>
        <v>38947.701746829</v>
      </c>
    </row>
    <row r="45" spans="2:21">
      <c r="C45" s="60" t="s">
        <v>168</v>
      </c>
      <c r="G45" s="72">
        <f>1-G46/G22</f>
        <v>0.18906379453189726</v>
      </c>
      <c r="H45" s="72">
        <f>1-H46/H22</f>
        <v>0.26174895895300421</v>
      </c>
      <c r="I45" s="72">
        <f>1-I46/I22</f>
        <v>0.29770573956620472</v>
      </c>
      <c r="J45" s="65">
        <f>Inputs!H46</f>
        <v>0.28999999999999998</v>
      </c>
      <c r="K45" s="65">
        <f>Inputs!I46</f>
        <v>0.28999999999999998</v>
      </c>
      <c r="L45" s="65">
        <f>Inputs!J46</f>
        <v>0.34</v>
      </c>
      <c r="M45" s="65">
        <f>Inputs!K46</f>
        <v>0.35</v>
      </c>
      <c r="N45" s="65">
        <f>Inputs!L46</f>
        <v>0.35</v>
      </c>
      <c r="O45" s="65">
        <f>Inputs!M46</f>
        <v>0.35</v>
      </c>
      <c r="P45" s="65">
        <f>Inputs!N46</f>
        <v>0.35</v>
      </c>
      <c r="Q45" s="65">
        <f>Inputs!O46</f>
        <v>0.35</v>
      </c>
      <c r="R45" s="65">
        <f>Inputs!P46</f>
        <v>0.35</v>
      </c>
      <c r="S45" s="65">
        <f>Inputs!Q46</f>
        <v>0.35</v>
      </c>
      <c r="T45" s="65">
        <f>Inputs!R46</f>
        <v>0.35</v>
      </c>
    </row>
    <row r="46" spans="2:21">
      <c r="C46" s="64" t="s">
        <v>169</v>
      </c>
      <c r="G46" s="100">
        <v>4894</v>
      </c>
      <c r="H46" s="100">
        <v>7446</v>
      </c>
      <c r="I46" s="100">
        <v>8969</v>
      </c>
      <c r="J46" s="101">
        <f t="shared" ref="J46:T46" si="12">J22*(1-J45)</f>
        <v>10699.543799999999</v>
      </c>
      <c r="K46" s="101">
        <f t="shared" si="12"/>
        <v>14230.393253999997</v>
      </c>
      <c r="L46" s="101">
        <f t="shared" si="12"/>
        <v>16138.468518479996</v>
      </c>
      <c r="M46" s="101">
        <f t="shared" si="12"/>
        <v>18754.856596475998</v>
      </c>
      <c r="N46" s="101">
        <f t="shared" si="12"/>
        <v>21568.085085947394</v>
      </c>
      <c r="O46" s="101">
        <f t="shared" si="12"/>
        <v>24371.936147120556</v>
      </c>
      <c r="P46" s="101">
        <f t="shared" si="12"/>
        <v>27052.849123303818</v>
      </c>
      <c r="Q46" s="101">
        <f t="shared" si="12"/>
        <v>29487.605544401165</v>
      </c>
      <c r="R46" s="101">
        <f t="shared" si="12"/>
        <v>31551.737932509248</v>
      </c>
      <c r="S46" s="101">
        <f t="shared" si="12"/>
        <v>33444.842208459806</v>
      </c>
      <c r="T46" s="101">
        <f t="shared" si="12"/>
        <v>35117.0843188828</v>
      </c>
    </row>
    <row r="47" spans="2:21">
      <c r="C47" s="64" t="s">
        <v>170</v>
      </c>
      <c r="G47" s="101">
        <f t="shared" ref="G47:T47" si="13">G22-G46</f>
        <v>1141</v>
      </c>
      <c r="H47" s="101">
        <f t="shared" si="13"/>
        <v>2640</v>
      </c>
      <c r="I47" s="101">
        <f t="shared" si="13"/>
        <v>3802</v>
      </c>
      <c r="J47" s="101">
        <f t="shared" si="13"/>
        <v>4370.2361999999994</v>
      </c>
      <c r="K47" s="101">
        <f t="shared" si="13"/>
        <v>5812.414146000001</v>
      </c>
      <c r="L47" s="101">
        <f t="shared" si="13"/>
        <v>8313.7565095200007</v>
      </c>
      <c r="M47" s="101">
        <f t="shared" si="13"/>
        <v>10098.768936563996</v>
      </c>
      <c r="N47" s="101">
        <f t="shared" si="13"/>
        <v>11613.584277048598</v>
      </c>
      <c r="O47" s="101">
        <f t="shared" si="13"/>
        <v>13123.350233064913</v>
      </c>
      <c r="P47" s="101">
        <f t="shared" si="13"/>
        <v>14566.918758702053</v>
      </c>
      <c r="Q47" s="101">
        <f t="shared" si="13"/>
        <v>15877.941446985242</v>
      </c>
      <c r="R47" s="101">
        <f t="shared" si="13"/>
        <v>16989.397348274208</v>
      </c>
      <c r="S47" s="101">
        <f t="shared" si="13"/>
        <v>18008.761189170662</v>
      </c>
      <c r="T47" s="101">
        <f t="shared" si="13"/>
        <v>18909.199248629193</v>
      </c>
    </row>
    <row r="49" spans="2:21">
      <c r="C49" s="60" t="s">
        <v>171</v>
      </c>
      <c r="G49" s="72">
        <f>1-G50/G25</f>
        <v>5.8781103498016574E-2</v>
      </c>
      <c r="H49" s="72">
        <f>1-H50/H25</f>
        <v>5.8192519460793624E-2</v>
      </c>
      <c r="I49" s="72">
        <f>1-I50/I25</f>
        <v>7.4301675977653581E-2</v>
      </c>
      <c r="J49" s="65">
        <f>Inputs!H52</f>
        <v>0.12</v>
      </c>
      <c r="K49" s="65">
        <f>Inputs!I52</f>
        <v>0.12</v>
      </c>
      <c r="L49" s="65">
        <f>Inputs!J52</f>
        <v>0.26</v>
      </c>
      <c r="M49" s="65">
        <f>Inputs!K52</f>
        <v>0.31</v>
      </c>
      <c r="N49" s="65">
        <f>Inputs!L52</f>
        <v>0.35</v>
      </c>
      <c r="O49" s="65">
        <f>Inputs!M52</f>
        <v>0.38</v>
      </c>
      <c r="P49" s="65">
        <f>Inputs!N52</f>
        <v>0.4</v>
      </c>
      <c r="Q49" s="65">
        <f>Inputs!O52</f>
        <v>0.41</v>
      </c>
      <c r="R49" s="65">
        <f>Inputs!P52</f>
        <v>0.42</v>
      </c>
      <c r="S49" s="65">
        <f>Inputs!Q52</f>
        <v>0.42</v>
      </c>
      <c r="T49" s="65">
        <f>Inputs!R52</f>
        <v>0.42</v>
      </c>
    </row>
    <row r="50" spans="2:21">
      <c r="C50" s="64" t="s">
        <v>172</v>
      </c>
      <c r="G50" s="100">
        <v>7830</v>
      </c>
      <c r="H50" s="100">
        <v>9921</v>
      </c>
      <c r="I50" s="100">
        <v>11599</v>
      </c>
      <c r="J50" s="101">
        <f t="shared" ref="J50:T50" si="14">J25*(1-J49)</f>
        <v>14334.32</v>
      </c>
      <c r="K50" s="101">
        <f t="shared" si="14"/>
        <v>17057.840800000002</v>
      </c>
      <c r="L50" s="101">
        <f t="shared" si="14"/>
        <v>18647.32142</v>
      </c>
      <c r="M50" s="101">
        <f t="shared" si="14"/>
        <v>22255.830105599998</v>
      </c>
      <c r="N50" s="101">
        <f t="shared" si="14"/>
        <v>26207.046320000001</v>
      </c>
      <c r="O50" s="101">
        <f t="shared" si="14"/>
        <v>29996.988403200001</v>
      </c>
      <c r="P50" s="101">
        <f t="shared" si="14"/>
        <v>33674.038594559999</v>
      </c>
      <c r="Q50" s="101">
        <f t="shared" si="14"/>
        <v>37417.469218321916</v>
      </c>
      <c r="R50" s="101">
        <f t="shared" si="14"/>
        <v>40461.60230727015</v>
      </c>
      <c r="S50" s="101">
        <f t="shared" si="14"/>
        <v>43698.530491851758</v>
      </c>
      <c r="T50" s="101">
        <f t="shared" si="14"/>
        <v>45883.45701644435</v>
      </c>
    </row>
    <row r="51" spans="2:21">
      <c r="C51" s="64" t="s">
        <v>173</v>
      </c>
      <c r="G51" s="101">
        <f t="shared" ref="G51:T51" si="15">G25-G50</f>
        <v>489</v>
      </c>
      <c r="H51" s="101">
        <f t="shared" si="15"/>
        <v>613</v>
      </c>
      <c r="I51" s="101">
        <f t="shared" si="15"/>
        <v>931</v>
      </c>
      <c r="J51" s="101">
        <f t="shared" si="15"/>
        <v>1954.6800000000003</v>
      </c>
      <c r="K51" s="101">
        <f t="shared" si="15"/>
        <v>2326.0691999999981</v>
      </c>
      <c r="L51" s="101">
        <f t="shared" si="15"/>
        <v>6551.7615800000021</v>
      </c>
      <c r="M51" s="101">
        <f t="shared" si="15"/>
        <v>9998.9961344000039</v>
      </c>
      <c r="N51" s="101">
        <f t="shared" si="15"/>
        <v>14111.48648</v>
      </c>
      <c r="O51" s="101">
        <f t="shared" si="15"/>
        <v>18385.250956799999</v>
      </c>
      <c r="P51" s="101">
        <f t="shared" si="15"/>
        <v>22449.359063039999</v>
      </c>
      <c r="Q51" s="101">
        <f t="shared" si="15"/>
        <v>26001.970134766074</v>
      </c>
      <c r="R51" s="101">
        <f t="shared" si="15"/>
        <v>29299.780981126649</v>
      </c>
      <c r="S51" s="101">
        <f t="shared" si="15"/>
        <v>31643.763459616785</v>
      </c>
      <c r="T51" s="101">
        <f t="shared" si="15"/>
        <v>33225.951632597622</v>
      </c>
    </row>
    <row r="52" spans="2:21"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</row>
    <row r="53" spans="2:21">
      <c r="C53" s="60" t="s">
        <v>174</v>
      </c>
      <c r="G53" s="103">
        <f t="shared" ref="G53:T53" si="16">G42+G46+G50</f>
        <v>79113</v>
      </c>
      <c r="H53" s="103">
        <f t="shared" si="16"/>
        <v>80240</v>
      </c>
      <c r="I53" s="103">
        <f t="shared" si="16"/>
        <v>77733</v>
      </c>
      <c r="J53" s="103">
        <f t="shared" si="16"/>
        <v>88168.199568000011</v>
      </c>
      <c r="K53" s="103">
        <f t="shared" si="16"/>
        <v>98860.066702474011</v>
      </c>
      <c r="L53" s="103">
        <f t="shared" si="16"/>
        <v>102301.3127264136</v>
      </c>
      <c r="M53" s="103">
        <f t="shared" si="16"/>
        <v>113079.1862847367</v>
      </c>
      <c r="N53" s="103">
        <f t="shared" si="16"/>
        <v>124370.88706977392</v>
      </c>
      <c r="O53" s="103">
        <f t="shared" si="16"/>
        <v>135415.04887988226</v>
      </c>
      <c r="P53" s="103">
        <f t="shared" si="16"/>
        <v>146073.50134463119</v>
      </c>
      <c r="Q53" s="103">
        <f t="shared" si="16"/>
        <v>157415.1585139099</v>
      </c>
      <c r="R53" s="103">
        <f t="shared" si="16"/>
        <v>166433.95555468183</v>
      </c>
      <c r="S53" s="103">
        <f t="shared" si="16"/>
        <v>175845.96291974484</v>
      </c>
      <c r="T53" s="103">
        <f t="shared" si="16"/>
        <v>183680.84594060358</v>
      </c>
    </row>
    <row r="54" spans="2:21">
      <c r="C54" s="60" t="s">
        <v>175</v>
      </c>
      <c r="G54" s="104">
        <f t="shared" ref="G54:T54" si="17">G27-G53</f>
        <v>17660</v>
      </c>
      <c r="H54" s="104">
        <f t="shared" si="17"/>
        <v>17450</v>
      </c>
      <c r="I54" s="104">
        <f t="shared" si="17"/>
        <v>17094</v>
      </c>
      <c r="J54" s="104">
        <f t="shared" si="17"/>
        <v>20183.672831999982</v>
      </c>
      <c r="K54" s="104">
        <f t="shared" si="17"/>
        <v>23988.666312925998</v>
      </c>
      <c r="L54" s="104">
        <f t="shared" si="17"/>
        <v>37370.692352164566</v>
      </c>
      <c r="M54" s="104">
        <f t="shared" si="17"/>
        <v>44765.506538854563</v>
      </c>
      <c r="N54" s="104">
        <f t="shared" si="17"/>
        <v>52637.093017311941</v>
      </c>
      <c r="O54" s="104">
        <f t="shared" si="17"/>
        <v>60729.312682836171</v>
      </c>
      <c r="P54" s="104">
        <f t="shared" si="17"/>
        <v>68582.833546710812</v>
      </c>
      <c r="Q54" s="104">
        <f t="shared" si="17"/>
        <v>75356.243928080657</v>
      </c>
      <c r="R54" s="104">
        <f t="shared" si="17"/>
        <v>82103.894483329379</v>
      </c>
      <c r="S54" s="104">
        <f t="shared" si="17"/>
        <v>87091.438180296624</v>
      </c>
      <c r="T54" s="104">
        <f t="shared" si="17"/>
        <v>91082.852628055844</v>
      </c>
    </row>
    <row r="55" spans="2:21">
      <c r="C55" s="64" t="s">
        <v>176</v>
      </c>
      <c r="G55" s="72">
        <f t="shared" ref="G55:T55" si="18">G54/G27</f>
        <v>0.18248891736331416</v>
      </c>
      <c r="H55" s="72">
        <f t="shared" si="18"/>
        <v>0.17862626676220697</v>
      </c>
      <c r="I55" s="72">
        <f t="shared" si="18"/>
        <v>0.18026511436616155</v>
      </c>
      <c r="J55" s="72">
        <f t="shared" si="18"/>
        <v>0.18627894825378194</v>
      </c>
      <c r="K55" s="72">
        <f t="shared" si="18"/>
        <v>0.19526995292591939</v>
      </c>
      <c r="L55" s="72">
        <f t="shared" si="18"/>
        <v>0.26756036280241102</v>
      </c>
      <c r="M55" s="72">
        <f t="shared" si="18"/>
        <v>0.28360476198515538</v>
      </c>
      <c r="N55" s="72">
        <f t="shared" si="18"/>
        <v>0.29737129925676292</v>
      </c>
      <c r="O55" s="72">
        <f t="shared" si="18"/>
        <v>0.30961538837514624</v>
      </c>
      <c r="P55" s="72">
        <f t="shared" si="18"/>
        <v>0.31950062681088404</v>
      </c>
      <c r="Q55" s="72">
        <f t="shared" si="18"/>
        <v>0.32373497404544932</v>
      </c>
      <c r="R55" s="72">
        <f t="shared" si="18"/>
        <v>0.33034764914387271</v>
      </c>
      <c r="S55" s="72">
        <f t="shared" si="18"/>
        <v>0.33122499049559095</v>
      </c>
      <c r="T55" s="72">
        <f t="shared" si="18"/>
        <v>0.33149521971984802</v>
      </c>
    </row>
    <row r="57" spans="2:21">
      <c r="C57" s="33" t="s">
        <v>177</v>
      </c>
    </row>
    <row r="59" spans="2:21" ht="20.25" customHeight="1">
      <c r="B59" s="58" t="s">
        <v>16</v>
      </c>
      <c r="C59" s="27" t="s">
        <v>178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</row>
    <row r="61" spans="2:21">
      <c r="C61" s="33" t="s">
        <v>19</v>
      </c>
      <c r="G61" s="84">
        <v>2023</v>
      </c>
      <c r="H61" s="84">
        <v>2024</v>
      </c>
      <c r="I61" s="84">
        <v>2025</v>
      </c>
      <c r="J61" s="84">
        <f>Inputs!H$13</f>
        <v>2026</v>
      </c>
      <c r="K61" s="84">
        <f>Inputs!I$13</f>
        <v>2027</v>
      </c>
      <c r="L61" s="84">
        <f>Inputs!J$13</f>
        <v>2028</v>
      </c>
      <c r="M61" s="84">
        <f>Inputs!K$13</f>
        <v>2029</v>
      </c>
      <c r="N61" s="84">
        <f>Inputs!L$13</f>
        <v>2030</v>
      </c>
      <c r="O61" s="84">
        <f>Inputs!M$13</f>
        <v>2031</v>
      </c>
      <c r="P61" s="84">
        <f>Inputs!N$13</f>
        <v>2032</v>
      </c>
      <c r="Q61" s="84">
        <f>Inputs!O$13</f>
        <v>2033</v>
      </c>
      <c r="R61" s="84">
        <f>Inputs!P$13</f>
        <v>2034</v>
      </c>
      <c r="S61" s="84">
        <f>Inputs!Q$13</f>
        <v>2035</v>
      </c>
      <c r="T61" s="84" t="s">
        <v>47</v>
      </c>
    </row>
    <row r="62" spans="2:21">
      <c r="C62" s="45" t="str">
        <f>IF(Inputs!$E$11=1,"Best Case Selected",IF(Inputs!$E$11=2,"Base Case Selected","Worst Case Selected"))</f>
        <v>Base Case Selected</v>
      </c>
    </row>
    <row r="64" spans="2:21">
      <c r="C64" s="64" t="s">
        <v>179</v>
      </c>
      <c r="D64" s="99">
        <f>Inputs!$M$139</f>
        <v>350</v>
      </c>
    </row>
    <row r="65" spans="3:22">
      <c r="C65" s="64" t="s">
        <v>105</v>
      </c>
      <c r="D65" s="65">
        <f>Inputs!$M$112</f>
        <v>0.22</v>
      </c>
    </row>
    <row r="66" spans="3:22">
      <c r="C66" s="64"/>
      <c r="D66" s="65"/>
    </row>
    <row r="67" spans="3:22">
      <c r="C67" s="64" t="s">
        <v>180</v>
      </c>
      <c r="G67" s="100">
        <v>4667</v>
      </c>
      <c r="H67" s="100">
        <v>5368</v>
      </c>
      <c r="I67" s="100">
        <v>6148</v>
      </c>
      <c r="J67" s="101">
        <f t="shared" ref="J67:T67" si="19">J146</f>
        <v>6855.875</v>
      </c>
      <c r="K67" s="101">
        <f t="shared" si="19"/>
        <v>8905.875</v>
      </c>
      <c r="L67" s="101">
        <f t="shared" si="19"/>
        <v>10505.875</v>
      </c>
      <c r="M67" s="101">
        <f t="shared" si="19"/>
        <v>11955.875</v>
      </c>
      <c r="N67" s="101">
        <f t="shared" si="19"/>
        <v>13330.875</v>
      </c>
      <c r="O67" s="101">
        <f t="shared" si="19"/>
        <v>14680.875</v>
      </c>
      <c r="P67" s="101">
        <f t="shared" si="19"/>
        <v>16055.875</v>
      </c>
      <c r="Q67" s="101">
        <f t="shared" si="19"/>
        <v>17480.875</v>
      </c>
      <c r="R67" s="101">
        <f t="shared" si="19"/>
        <v>13300</v>
      </c>
      <c r="S67" s="101">
        <f t="shared" si="19"/>
        <v>14825</v>
      </c>
      <c r="T67" s="101">
        <f t="shared" si="19"/>
        <v>15269.75</v>
      </c>
    </row>
    <row r="68" spans="3:22">
      <c r="C68" s="64"/>
      <c r="G68" s="100"/>
      <c r="H68" s="100"/>
      <c r="I68" s="100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</row>
    <row r="69" spans="3:22">
      <c r="C69" s="60" t="s">
        <v>181</v>
      </c>
      <c r="G69" s="101">
        <f t="shared" ref="G69:T69" si="20">G27</f>
        <v>96773</v>
      </c>
      <c r="H69" s="101">
        <f t="shared" si="20"/>
        <v>97690</v>
      </c>
      <c r="I69" s="101">
        <f t="shared" si="20"/>
        <v>94827</v>
      </c>
      <c r="J69" s="101">
        <f t="shared" si="20"/>
        <v>108351.87239999999</v>
      </c>
      <c r="K69" s="101">
        <f t="shared" si="20"/>
        <v>122848.73301540001</v>
      </c>
      <c r="L69" s="101">
        <f t="shared" si="20"/>
        <v>139672.00507857816</v>
      </c>
      <c r="M69" s="101">
        <f t="shared" si="20"/>
        <v>157844.69282359126</v>
      </c>
      <c r="N69" s="101">
        <f t="shared" si="20"/>
        <v>177007.98008708586</v>
      </c>
      <c r="O69" s="101">
        <f t="shared" si="20"/>
        <v>196144.36156271843</v>
      </c>
      <c r="P69" s="101">
        <f t="shared" si="20"/>
        <v>214656.334891342</v>
      </c>
      <c r="Q69" s="101">
        <f t="shared" si="20"/>
        <v>232771.40244199056</v>
      </c>
      <c r="R69" s="101">
        <f t="shared" si="20"/>
        <v>248537.85003801121</v>
      </c>
      <c r="S69" s="101">
        <f t="shared" si="20"/>
        <v>262937.40110004146</v>
      </c>
      <c r="T69" s="101">
        <f t="shared" si="20"/>
        <v>274763.69856865943</v>
      </c>
    </row>
    <row r="70" spans="3:22">
      <c r="C70" s="64" t="s">
        <v>182</v>
      </c>
      <c r="G70" s="101">
        <f t="shared" ref="G70:T70" si="21">G53</f>
        <v>79113</v>
      </c>
      <c r="H70" s="101">
        <f t="shared" si="21"/>
        <v>80240</v>
      </c>
      <c r="I70" s="101">
        <f t="shared" si="21"/>
        <v>77733</v>
      </c>
      <c r="J70" s="101">
        <f t="shared" si="21"/>
        <v>88168.199568000011</v>
      </c>
      <c r="K70" s="101">
        <f t="shared" si="21"/>
        <v>98860.066702474011</v>
      </c>
      <c r="L70" s="101">
        <f t="shared" si="21"/>
        <v>102301.3127264136</v>
      </c>
      <c r="M70" s="101">
        <f t="shared" si="21"/>
        <v>113079.1862847367</v>
      </c>
      <c r="N70" s="101">
        <f t="shared" si="21"/>
        <v>124370.88706977392</v>
      </c>
      <c r="O70" s="101">
        <f t="shared" si="21"/>
        <v>135415.04887988226</v>
      </c>
      <c r="P70" s="101">
        <f t="shared" si="21"/>
        <v>146073.50134463119</v>
      </c>
      <c r="Q70" s="101">
        <f t="shared" si="21"/>
        <v>157415.1585139099</v>
      </c>
      <c r="R70" s="101">
        <f t="shared" si="21"/>
        <v>166433.95555468183</v>
      </c>
      <c r="S70" s="101">
        <f t="shared" si="21"/>
        <v>175845.96291974484</v>
      </c>
      <c r="T70" s="101">
        <f t="shared" si="21"/>
        <v>183680.84594060358</v>
      </c>
    </row>
    <row r="71" spans="3:22">
      <c r="C71" s="60" t="s">
        <v>183</v>
      </c>
      <c r="G71" s="103">
        <f t="shared" ref="G71:T71" si="22">G69-G70</f>
        <v>17660</v>
      </c>
      <c r="H71" s="103">
        <f t="shared" si="22"/>
        <v>17450</v>
      </c>
      <c r="I71" s="103">
        <f t="shared" si="22"/>
        <v>17094</v>
      </c>
      <c r="J71" s="103">
        <f t="shared" si="22"/>
        <v>20183.672831999982</v>
      </c>
      <c r="K71" s="103">
        <f t="shared" si="22"/>
        <v>23988.666312925998</v>
      </c>
      <c r="L71" s="103">
        <f t="shared" si="22"/>
        <v>37370.692352164566</v>
      </c>
      <c r="M71" s="103">
        <f t="shared" si="22"/>
        <v>44765.506538854563</v>
      </c>
      <c r="N71" s="103">
        <f t="shared" si="22"/>
        <v>52637.093017311941</v>
      </c>
      <c r="O71" s="103">
        <f t="shared" si="22"/>
        <v>60729.312682836171</v>
      </c>
      <c r="P71" s="103">
        <f t="shared" si="22"/>
        <v>68582.833546710812</v>
      </c>
      <c r="Q71" s="103">
        <f t="shared" si="22"/>
        <v>75356.243928080657</v>
      </c>
      <c r="R71" s="103">
        <f t="shared" si="22"/>
        <v>82103.894483329379</v>
      </c>
      <c r="S71" s="103">
        <f t="shared" si="22"/>
        <v>87091.438180296624</v>
      </c>
      <c r="T71" s="103">
        <f t="shared" si="22"/>
        <v>91082.852628055844</v>
      </c>
    </row>
    <row r="73" spans="3:22">
      <c r="C73" s="64" t="s">
        <v>184</v>
      </c>
      <c r="H73" s="72">
        <f>H74/G74-1</f>
        <v>0.17219751396966587</v>
      </c>
      <c r="I73" s="72">
        <f>I74/H74-1</f>
        <v>0.18464831209261612</v>
      </c>
      <c r="J73" s="65">
        <f>Inputs!H58</f>
        <v>0.22</v>
      </c>
      <c r="K73" s="65">
        <f>Inputs!I58</f>
        <v>0.15</v>
      </c>
      <c r="L73" s="65">
        <f>Inputs!J58</f>
        <v>0.12</v>
      </c>
      <c r="M73" s="65">
        <f>Inputs!K58</f>
        <v>0.1</v>
      </c>
      <c r="N73" s="65">
        <f>Inputs!L58</f>
        <v>0.08</v>
      </c>
      <c r="O73" s="65">
        <f>Inputs!M58</f>
        <v>7.0000000000000007E-2</v>
      </c>
      <c r="P73" s="65">
        <f>Inputs!N58</f>
        <v>0.06</v>
      </c>
      <c r="Q73" s="65">
        <f>Inputs!O58</f>
        <v>0.06</v>
      </c>
      <c r="R73" s="65">
        <f>Inputs!P58</f>
        <v>0.05</v>
      </c>
      <c r="S73" s="65">
        <f>Inputs!Q58</f>
        <v>0.05</v>
      </c>
      <c r="T73" s="65">
        <f>Inputs!R58</f>
        <v>0.04</v>
      </c>
    </row>
    <row r="74" spans="3:22">
      <c r="C74" s="64" t="s">
        <v>185</v>
      </c>
      <c r="G74" s="100">
        <v>8769</v>
      </c>
      <c r="H74" s="100">
        <v>10279</v>
      </c>
      <c r="I74" s="100">
        <v>12177</v>
      </c>
      <c r="J74" s="101">
        <f t="shared" ref="J74:T74" si="23">I74*(1+J73)</f>
        <v>14855.94</v>
      </c>
      <c r="K74" s="101">
        <f t="shared" si="23"/>
        <v>17084.330999999998</v>
      </c>
      <c r="L74" s="101">
        <f t="shared" si="23"/>
        <v>19134.450720000001</v>
      </c>
      <c r="M74" s="101">
        <f t="shared" si="23"/>
        <v>21047.895792000003</v>
      </c>
      <c r="N74" s="101">
        <f t="shared" si="23"/>
        <v>22731.727455360004</v>
      </c>
      <c r="O74" s="101">
        <f t="shared" si="23"/>
        <v>24322.948377235207</v>
      </c>
      <c r="P74" s="101">
        <f t="shared" si="23"/>
        <v>25782.325279869321</v>
      </c>
      <c r="Q74" s="101">
        <f t="shared" si="23"/>
        <v>27329.264796661482</v>
      </c>
      <c r="R74" s="101">
        <f t="shared" si="23"/>
        <v>28695.728036494558</v>
      </c>
      <c r="S74" s="101">
        <f t="shared" si="23"/>
        <v>30130.514438319289</v>
      </c>
      <c r="T74" s="101">
        <f t="shared" si="23"/>
        <v>31335.73501585206</v>
      </c>
    </row>
    <row r="75" spans="3:22">
      <c r="C75" s="60" t="s">
        <v>186</v>
      </c>
      <c r="G75" s="103">
        <f t="shared" ref="G75:T75" si="24">G71-G74</f>
        <v>8891</v>
      </c>
      <c r="H75" s="103">
        <f t="shared" si="24"/>
        <v>7171</v>
      </c>
      <c r="I75" s="103">
        <f t="shared" si="24"/>
        <v>4917</v>
      </c>
      <c r="J75" s="103">
        <f t="shared" si="24"/>
        <v>5327.7328319999815</v>
      </c>
      <c r="K75" s="103">
        <f t="shared" si="24"/>
        <v>6904.3353129259995</v>
      </c>
      <c r="L75" s="103">
        <f t="shared" si="24"/>
        <v>18236.241632164565</v>
      </c>
      <c r="M75" s="103">
        <f t="shared" si="24"/>
        <v>23717.61074685456</v>
      </c>
      <c r="N75" s="103">
        <f t="shared" si="24"/>
        <v>29905.365561951938</v>
      </c>
      <c r="O75" s="103">
        <f t="shared" si="24"/>
        <v>36406.364305600961</v>
      </c>
      <c r="P75" s="103">
        <f t="shared" si="24"/>
        <v>42800.508266841491</v>
      </c>
      <c r="Q75" s="103">
        <f t="shared" si="24"/>
        <v>48026.979131419175</v>
      </c>
      <c r="R75" s="103">
        <f t="shared" si="24"/>
        <v>53408.166446834817</v>
      </c>
      <c r="S75" s="103">
        <f t="shared" si="24"/>
        <v>56960.923741977334</v>
      </c>
      <c r="T75" s="103">
        <f t="shared" si="24"/>
        <v>59747.117612203787</v>
      </c>
    </row>
    <row r="76" spans="3:22">
      <c r="C76" s="64" t="s">
        <v>187</v>
      </c>
      <c r="G76" s="72">
        <f t="shared" ref="G76:T76" si="25">G75/G69</f>
        <v>9.1874799789197395E-2</v>
      </c>
      <c r="H76" s="72">
        <f t="shared" si="25"/>
        <v>7.3405671000102368E-2</v>
      </c>
      <c r="I76" s="72">
        <f t="shared" si="25"/>
        <v>5.1852320541617897E-2</v>
      </c>
      <c r="J76" s="72">
        <f t="shared" si="25"/>
        <v>4.9170657728292121E-2</v>
      </c>
      <c r="K76" s="72">
        <f t="shared" si="25"/>
        <v>5.6201925273909742E-2</v>
      </c>
      <c r="L76" s="72">
        <f t="shared" si="25"/>
        <v>0.13056475864225639</v>
      </c>
      <c r="M76" s="72">
        <f t="shared" si="25"/>
        <v>0.15025915868683395</v>
      </c>
      <c r="N76" s="72">
        <f t="shared" si="25"/>
        <v>0.16894925046452056</v>
      </c>
      <c r="O76" s="72">
        <f t="shared" si="25"/>
        <v>0.18561004769927986</v>
      </c>
      <c r="P76" s="72">
        <f t="shared" si="25"/>
        <v>0.19939084624968978</v>
      </c>
      <c r="Q76" s="72">
        <f t="shared" si="25"/>
        <v>0.20632680229431569</v>
      </c>
      <c r="R76" s="72">
        <f t="shared" si="25"/>
        <v>0.21488946829895972</v>
      </c>
      <c r="S76" s="72">
        <f t="shared" si="25"/>
        <v>0.21663302179025132</v>
      </c>
      <c r="T76" s="72">
        <f t="shared" si="25"/>
        <v>0.21744909507131946</v>
      </c>
    </row>
    <row r="78" spans="3:22">
      <c r="C78" s="64" t="s">
        <v>188</v>
      </c>
      <c r="G78" s="100">
        <v>-1082</v>
      </c>
      <c r="H78" s="100">
        <v>-1914</v>
      </c>
      <c r="I78" s="100">
        <v>-923</v>
      </c>
      <c r="J78" s="101">
        <v>-825</v>
      </c>
      <c r="K78" s="101">
        <f t="shared" ref="K78:T78" si="26">$D$64</f>
        <v>350</v>
      </c>
      <c r="L78" s="101">
        <f t="shared" si="26"/>
        <v>350</v>
      </c>
      <c r="M78" s="101">
        <f t="shared" si="26"/>
        <v>350</v>
      </c>
      <c r="N78" s="101">
        <f t="shared" si="26"/>
        <v>350</v>
      </c>
      <c r="O78" s="101">
        <f t="shared" si="26"/>
        <v>350</v>
      </c>
      <c r="P78" s="101">
        <f t="shared" si="26"/>
        <v>350</v>
      </c>
      <c r="Q78" s="101">
        <f t="shared" si="26"/>
        <v>350</v>
      </c>
      <c r="R78" s="101">
        <f t="shared" si="26"/>
        <v>350</v>
      </c>
      <c r="S78" s="101">
        <f t="shared" si="26"/>
        <v>350</v>
      </c>
      <c r="T78" s="101">
        <f t="shared" si="26"/>
        <v>350</v>
      </c>
      <c r="V78" s="33" t="s">
        <v>189</v>
      </c>
    </row>
    <row r="79" spans="3:22">
      <c r="C79" s="60" t="s">
        <v>190</v>
      </c>
      <c r="G79" s="103">
        <f t="shared" ref="G79:T79" si="27">G75-G78</f>
        <v>9973</v>
      </c>
      <c r="H79" s="103">
        <f t="shared" si="27"/>
        <v>9085</v>
      </c>
      <c r="I79" s="103">
        <f t="shared" si="27"/>
        <v>5840</v>
      </c>
      <c r="J79" s="103">
        <f t="shared" si="27"/>
        <v>6152.7328319999815</v>
      </c>
      <c r="K79" s="103">
        <f t="shared" si="27"/>
        <v>6554.3353129259995</v>
      </c>
      <c r="L79" s="103">
        <f t="shared" si="27"/>
        <v>17886.241632164565</v>
      </c>
      <c r="M79" s="103">
        <f t="shared" si="27"/>
        <v>23367.61074685456</v>
      </c>
      <c r="N79" s="103">
        <f t="shared" si="27"/>
        <v>29555.365561951938</v>
      </c>
      <c r="O79" s="103">
        <f t="shared" si="27"/>
        <v>36056.364305600961</v>
      </c>
      <c r="P79" s="103">
        <f t="shared" si="27"/>
        <v>42450.508266841491</v>
      </c>
      <c r="Q79" s="103">
        <f t="shared" si="27"/>
        <v>47676.979131419175</v>
      </c>
      <c r="R79" s="103">
        <f t="shared" si="27"/>
        <v>53058.166446834817</v>
      </c>
      <c r="S79" s="103">
        <f t="shared" si="27"/>
        <v>56610.923741977334</v>
      </c>
      <c r="T79" s="103">
        <f t="shared" si="27"/>
        <v>59397.117612203787</v>
      </c>
    </row>
    <row r="81" spans="2:21">
      <c r="C81" s="64" t="s">
        <v>191</v>
      </c>
      <c r="J81" s="101">
        <f t="shared" ref="J81:S81" si="28">J203</f>
        <v>1678.3525</v>
      </c>
      <c r="K81" s="101">
        <f t="shared" si="28"/>
        <v>1436.7925</v>
      </c>
      <c r="L81" s="101">
        <f t="shared" si="28"/>
        <v>875.13250000000005</v>
      </c>
      <c r="M81" s="101">
        <f t="shared" si="28"/>
        <v>1169.1257230399951</v>
      </c>
      <c r="N81" s="101">
        <f t="shared" si="28"/>
        <v>1517.9318688437197</v>
      </c>
      <c r="O81" s="101">
        <f t="shared" si="28"/>
        <v>4285.3141390762039</v>
      </c>
      <c r="P81" s="101">
        <f t="shared" si="28"/>
        <v>5764.6056483080029</v>
      </c>
      <c r="Q81" s="101">
        <f t="shared" si="28"/>
        <v>7394.1239508294266</v>
      </c>
      <c r="R81" s="101">
        <f t="shared" si="28"/>
        <v>7846.3209689922123</v>
      </c>
      <c r="S81" s="101">
        <f t="shared" si="28"/>
        <v>9519.948476113128</v>
      </c>
      <c r="T81" s="101">
        <f>$D$65*T79</f>
        <v>13067.365874684832</v>
      </c>
    </row>
    <row r="82" spans="2:21">
      <c r="C82" s="64" t="s">
        <v>192</v>
      </c>
      <c r="G82" s="95"/>
      <c r="H82" s="95"/>
      <c r="I82" s="95"/>
      <c r="J82" s="101">
        <f t="shared" ref="J82:S82" si="29">J204</f>
        <v>515.70749999999998</v>
      </c>
      <c r="K82" s="101">
        <f t="shared" si="29"/>
        <v>561.90750000000003</v>
      </c>
      <c r="L82" s="101">
        <f t="shared" si="29"/>
        <v>409.6674999999999</v>
      </c>
      <c r="M82" s="101">
        <f t="shared" si="29"/>
        <v>184.47550000000069</v>
      </c>
      <c r="N82" s="101">
        <f t="shared" si="29"/>
        <v>-75.978099999999813</v>
      </c>
      <c r="O82" s="101">
        <f t="shared" si="29"/>
        <v>-350.34097999999949</v>
      </c>
      <c r="P82" s="101">
        <f t="shared" si="29"/>
        <v>-623.7312839999995</v>
      </c>
      <c r="Q82" s="101">
        <f t="shared" si="29"/>
        <v>-891.94352720000006</v>
      </c>
      <c r="R82" s="101">
        <f t="shared" si="29"/>
        <v>86.079178239999237</v>
      </c>
      <c r="S82" s="101">
        <f t="shared" si="29"/>
        <v>-180.83665740799916</v>
      </c>
      <c r="T82" s="100">
        <v>0</v>
      </c>
    </row>
    <row r="83" spans="2:21">
      <c r="C83" s="60" t="s">
        <v>193</v>
      </c>
      <c r="G83" s="100">
        <v>-5001</v>
      </c>
      <c r="H83" s="100">
        <v>1837</v>
      </c>
      <c r="I83" s="100">
        <v>1423</v>
      </c>
      <c r="J83" s="103">
        <f t="shared" ref="J83:T83" si="30">J81+J82</f>
        <v>2194.06</v>
      </c>
      <c r="K83" s="103">
        <f t="shared" si="30"/>
        <v>1998.7</v>
      </c>
      <c r="L83" s="103">
        <f t="shared" si="30"/>
        <v>1284.8</v>
      </c>
      <c r="M83" s="103">
        <f t="shared" si="30"/>
        <v>1353.6012230399958</v>
      </c>
      <c r="N83" s="103">
        <f t="shared" si="30"/>
        <v>1441.9537688437199</v>
      </c>
      <c r="O83" s="103">
        <f t="shared" si="30"/>
        <v>3934.9731590762044</v>
      </c>
      <c r="P83" s="103">
        <f t="shared" si="30"/>
        <v>5140.8743643080034</v>
      </c>
      <c r="Q83" s="103">
        <f t="shared" si="30"/>
        <v>6502.1804236294265</v>
      </c>
      <c r="R83" s="103">
        <f t="shared" si="30"/>
        <v>7932.4001472322116</v>
      </c>
      <c r="S83" s="103">
        <f t="shared" si="30"/>
        <v>9339.1118187051288</v>
      </c>
      <c r="T83" s="103">
        <f t="shared" si="30"/>
        <v>13067.365874684832</v>
      </c>
    </row>
    <row r="85" spans="2:21">
      <c r="C85" s="60" t="s">
        <v>194</v>
      </c>
      <c r="G85" s="105">
        <f t="shared" ref="G85:T85" si="31">G79-G83</f>
        <v>14974</v>
      </c>
      <c r="H85" s="105">
        <f t="shared" si="31"/>
        <v>7248</v>
      </c>
      <c r="I85" s="105">
        <f t="shared" si="31"/>
        <v>4417</v>
      </c>
      <c r="J85" s="105">
        <f t="shared" si="31"/>
        <v>3958.6728319999816</v>
      </c>
      <c r="K85" s="105">
        <f t="shared" si="31"/>
        <v>4555.6353129259996</v>
      </c>
      <c r="L85" s="105">
        <f t="shared" si="31"/>
        <v>16601.441632164566</v>
      </c>
      <c r="M85" s="105">
        <f t="shared" si="31"/>
        <v>22014.009523814562</v>
      </c>
      <c r="N85" s="105">
        <f t="shared" si="31"/>
        <v>28113.411793108218</v>
      </c>
      <c r="O85" s="105">
        <f t="shared" si="31"/>
        <v>32121.391146524755</v>
      </c>
      <c r="P85" s="105">
        <f t="shared" si="31"/>
        <v>37309.633902533489</v>
      </c>
      <c r="Q85" s="105">
        <f t="shared" si="31"/>
        <v>41174.798707789749</v>
      </c>
      <c r="R85" s="105">
        <f t="shared" si="31"/>
        <v>45125.766299602605</v>
      </c>
      <c r="S85" s="105">
        <f t="shared" si="31"/>
        <v>47271.811923272209</v>
      </c>
      <c r="T85" s="105">
        <f t="shared" si="31"/>
        <v>46329.751737518956</v>
      </c>
    </row>
    <row r="87" spans="2:21">
      <c r="C87" s="33" t="s">
        <v>195</v>
      </c>
    </row>
    <row r="89" spans="2:21" ht="20.25" customHeight="1">
      <c r="B89" s="58" t="s">
        <v>16</v>
      </c>
      <c r="C89" s="27" t="s">
        <v>196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</row>
    <row r="91" spans="2:21">
      <c r="C91" s="33" t="s">
        <v>19</v>
      </c>
      <c r="G91" s="84">
        <v>2023</v>
      </c>
      <c r="H91" s="84">
        <v>2024</v>
      </c>
      <c r="I91" s="84">
        <v>2025</v>
      </c>
      <c r="J91" s="84">
        <f>Inputs!H$13</f>
        <v>2026</v>
      </c>
      <c r="K91" s="84">
        <f>Inputs!I$13</f>
        <v>2027</v>
      </c>
      <c r="L91" s="84">
        <f>Inputs!J$13</f>
        <v>2028</v>
      </c>
      <c r="M91" s="84">
        <f>Inputs!K$13</f>
        <v>2029</v>
      </c>
      <c r="N91" s="84">
        <f>Inputs!L$13</f>
        <v>2030</v>
      </c>
      <c r="O91" s="84">
        <f>Inputs!M$13</f>
        <v>2031</v>
      </c>
      <c r="P91" s="84">
        <f>Inputs!N$13</f>
        <v>2032</v>
      </c>
      <c r="Q91" s="84">
        <f>Inputs!O$13</f>
        <v>2033</v>
      </c>
      <c r="R91" s="84">
        <f>Inputs!P$13</f>
        <v>2034</v>
      </c>
      <c r="S91" s="84">
        <f>Inputs!Q$13</f>
        <v>2035</v>
      </c>
      <c r="T91" s="84" t="s">
        <v>47</v>
      </c>
    </row>
    <row r="92" spans="2:21">
      <c r="C92" s="45" t="str">
        <f>IF(Inputs!$E$11=1,"Best Case Selected",IF(Inputs!$E$11=2,"Base Case Selected","Worst Case Selected"))</f>
        <v>Base Case Selected</v>
      </c>
    </row>
    <row r="94" spans="2:21">
      <c r="C94" s="64" t="s">
        <v>132</v>
      </c>
      <c r="G94" s="87">
        <f>Inputs!$G$136</f>
        <v>365</v>
      </c>
      <c r="H94" s="87">
        <f>Inputs!$G$136</f>
        <v>365</v>
      </c>
      <c r="I94" s="87">
        <f>Inputs!$G$136</f>
        <v>365</v>
      </c>
      <c r="J94" s="87">
        <f>Inputs!$G$136</f>
        <v>365</v>
      </c>
      <c r="K94" s="87">
        <f>Inputs!$G$136</f>
        <v>365</v>
      </c>
      <c r="L94" s="87">
        <f>Inputs!$G$136</f>
        <v>365</v>
      </c>
      <c r="M94" s="87">
        <f>Inputs!$G$136</f>
        <v>365</v>
      </c>
      <c r="N94" s="87">
        <f>Inputs!$G$136</f>
        <v>365</v>
      </c>
      <c r="O94" s="87">
        <f>Inputs!$G$136</f>
        <v>365</v>
      </c>
      <c r="P94" s="87">
        <f>Inputs!$G$136</f>
        <v>365</v>
      </c>
      <c r="Q94" s="87">
        <f>Inputs!$G$136</f>
        <v>365</v>
      </c>
      <c r="R94" s="87">
        <f>Inputs!$G$136</f>
        <v>365</v>
      </c>
      <c r="S94" s="87">
        <f>Inputs!$G$136</f>
        <v>365</v>
      </c>
      <c r="T94" s="87">
        <f>Inputs!$G$136</f>
        <v>365</v>
      </c>
    </row>
    <row r="95" spans="2:21">
      <c r="C95" s="64" t="s">
        <v>181</v>
      </c>
      <c r="G95" s="101">
        <f t="shared" ref="G95:T95" si="32">G27</f>
        <v>96773</v>
      </c>
      <c r="H95" s="101">
        <f t="shared" si="32"/>
        <v>97690</v>
      </c>
      <c r="I95" s="101">
        <f t="shared" si="32"/>
        <v>94827</v>
      </c>
      <c r="J95" s="101">
        <f t="shared" si="32"/>
        <v>108351.87239999999</v>
      </c>
      <c r="K95" s="101">
        <f t="shared" si="32"/>
        <v>122848.73301540001</v>
      </c>
      <c r="L95" s="101">
        <f t="shared" si="32"/>
        <v>139672.00507857816</v>
      </c>
      <c r="M95" s="101">
        <f t="shared" si="32"/>
        <v>157844.69282359126</v>
      </c>
      <c r="N95" s="101">
        <f t="shared" si="32"/>
        <v>177007.98008708586</v>
      </c>
      <c r="O95" s="101">
        <f t="shared" si="32"/>
        <v>196144.36156271843</v>
      </c>
      <c r="P95" s="101">
        <f t="shared" si="32"/>
        <v>214656.334891342</v>
      </c>
      <c r="Q95" s="101">
        <f t="shared" si="32"/>
        <v>232771.40244199056</v>
      </c>
      <c r="R95" s="101">
        <f t="shared" si="32"/>
        <v>248537.85003801121</v>
      </c>
      <c r="S95" s="101">
        <f t="shared" si="32"/>
        <v>262937.40110004146</v>
      </c>
      <c r="T95" s="101">
        <f t="shared" si="32"/>
        <v>274763.69856865943</v>
      </c>
    </row>
    <row r="96" spans="2:21">
      <c r="C96" s="64" t="s">
        <v>197</v>
      </c>
      <c r="G96" s="101">
        <f t="shared" ref="G96:T96" si="33">G53</f>
        <v>79113</v>
      </c>
      <c r="H96" s="101">
        <f t="shared" si="33"/>
        <v>80240</v>
      </c>
      <c r="I96" s="101">
        <f t="shared" si="33"/>
        <v>77733</v>
      </c>
      <c r="J96" s="101">
        <f t="shared" si="33"/>
        <v>88168.199568000011</v>
      </c>
      <c r="K96" s="101">
        <f t="shared" si="33"/>
        <v>98860.066702474011</v>
      </c>
      <c r="L96" s="101">
        <f t="shared" si="33"/>
        <v>102301.3127264136</v>
      </c>
      <c r="M96" s="101">
        <f t="shared" si="33"/>
        <v>113079.1862847367</v>
      </c>
      <c r="N96" s="101">
        <f t="shared" si="33"/>
        <v>124370.88706977392</v>
      </c>
      <c r="O96" s="101">
        <f t="shared" si="33"/>
        <v>135415.04887988226</v>
      </c>
      <c r="P96" s="101">
        <f t="shared" si="33"/>
        <v>146073.50134463119</v>
      </c>
      <c r="Q96" s="101">
        <f t="shared" si="33"/>
        <v>157415.1585139099</v>
      </c>
      <c r="R96" s="101">
        <f t="shared" si="33"/>
        <v>166433.95555468183</v>
      </c>
      <c r="S96" s="101">
        <f t="shared" si="33"/>
        <v>175845.96291974484</v>
      </c>
      <c r="T96" s="101">
        <f t="shared" si="33"/>
        <v>183680.84594060358</v>
      </c>
    </row>
    <row r="97" spans="3:20"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</row>
    <row r="98" spans="3:20">
      <c r="C98" s="64" t="s">
        <v>62</v>
      </c>
      <c r="E98" s="33" t="s">
        <v>63</v>
      </c>
      <c r="G98" s="101">
        <f t="shared" ref="G98:I99" si="34">(G102/G95)*G$94</f>
        <v>13.23116985109483</v>
      </c>
      <c r="H98" s="101">
        <f t="shared" si="34"/>
        <v>16.507011976660866</v>
      </c>
      <c r="I98" s="101">
        <f t="shared" si="34"/>
        <v>17.613548883756735</v>
      </c>
      <c r="J98" s="106">
        <f>Inputs!H73</f>
        <v>18</v>
      </c>
      <c r="K98" s="106">
        <f>Inputs!I73</f>
        <v>18</v>
      </c>
      <c r="L98" s="106">
        <f>Inputs!J73</f>
        <v>18</v>
      </c>
      <c r="M98" s="106">
        <f>Inputs!K73</f>
        <v>18</v>
      </c>
      <c r="N98" s="106">
        <f>Inputs!L73</f>
        <v>18</v>
      </c>
      <c r="O98" s="106">
        <f>Inputs!M73</f>
        <v>18</v>
      </c>
      <c r="P98" s="106">
        <f>Inputs!N73</f>
        <v>18</v>
      </c>
      <c r="Q98" s="106">
        <f>Inputs!O73</f>
        <v>18</v>
      </c>
      <c r="R98" s="106">
        <f>Inputs!P73</f>
        <v>18</v>
      </c>
      <c r="S98" s="106">
        <f>Inputs!Q73</f>
        <v>18</v>
      </c>
      <c r="T98" s="106">
        <f>Inputs!R73</f>
        <v>18</v>
      </c>
    </row>
    <row r="99" spans="3:20">
      <c r="C99" s="64" t="s">
        <v>64</v>
      </c>
      <c r="E99" s="33" t="s">
        <v>63</v>
      </c>
      <c r="G99" s="101">
        <f t="shared" si="34"/>
        <v>62.865647870767134</v>
      </c>
      <c r="H99" s="101">
        <f t="shared" si="34"/>
        <v>54.663571784646059</v>
      </c>
      <c r="I99" s="101">
        <f t="shared" si="34"/>
        <v>58.187385023091871</v>
      </c>
      <c r="J99" s="106">
        <f>Inputs!H74</f>
        <v>58</v>
      </c>
      <c r="K99" s="106">
        <f>Inputs!I74</f>
        <v>58</v>
      </c>
      <c r="L99" s="106">
        <f>Inputs!J74</f>
        <v>58</v>
      </c>
      <c r="M99" s="106">
        <f>Inputs!K74</f>
        <v>58</v>
      </c>
      <c r="N99" s="106">
        <f>Inputs!L74</f>
        <v>58</v>
      </c>
      <c r="O99" s="106">
        <f>Inputs!M74</f>
        <v>58</v>
      </c>
      <c r="P99" s="106">
        <f>Inputs!N74</f>
        <v>58</v>
      </c>
      <c r="Q99" s="106">
        <f>Inputs!O74</f>
        <v>58</v>
      </c>
      <c r="R99" s="106">
        <f>Inputs!P74</f>
        <v>58</v>
      </c>
      <c r="S99" s="106">
        <f>Inputs!Q74</f>
        <v>58</v>
      </c>
      <c r="T99" s="106">
        <f>Inputs!R74</f>
        <v>58</v>
      </c>
    </row>
    <row r="100" spans="3:20">
      <c r="C100" s="64" t="s">
        <v>65</v>
      </c>
      <c r="E100" s="33" t="s">
        <v>63</v>
      </c>
      <c r="G100" s="101">
        <f>(G104/G96)*G$94</f>
        <v>66.579639250186446</v>
      </c>
      <c r="H100" s="101">
        <f>(H104/H96)*H$94</f>
        <v>56.742397806580264</v>
      </c>
      <c r="I100" s="101">
        <f>(I104/I96)*I$94</f>
        <v>62.784338697850337</v>
      </c>
      <c r="J100" s="106">
        <f>Inputs!H75</f>
        <v>62</v>
      </c>
      <c r="K100" s="106">
        <f>Inputs!I75</f>
        <v>62</v>
      </c>
      <c r="L100" s="106">
        <f>Inputs!J75</f>
        <v>62</v>
      </c>
      <c r="M100" s="106">
        <f>Inputs!K75</f>
        <v>62</v>
      </c>
      <c r="N100" s="106">
        <f>Inputs!L75</f>
        <v>62</v>
      </c>
      <c r="O100" s="106">
        <f>Inputs!M75</f>
        <v>62</v>
      </c>
      <c r="P100" s="106">
        <f>Inputs!N75</f>
        <v>62</v>
      </c>
      <c r="Q100" s="106">
        <f>Inputs!O75</f>
        <v>62</v>
      </c>
      <c r="R100" s="106">
        <f>Inputs!P75</f>
        <v>62</v>
      </c>
      <c r="S100" s="106">
        <f>Inputs!Q75</f>
        <v>62</v>
      </c>
      <c r="T100" s="106">
        <f>Inputs!R75</f>
        <v>62</v>
      </c>
    </row>
    <row r="101" spans="3:20"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</row>
    <row r="102" spans="3:20">
      <c r="C102" s="60" t="s">
        <v>62</v>
      </c>
      <c r="G102" s="100">
        <v>3508</v>
      </c>
      <c r="H102" s="100">
        <v>4418</v>
      </c>
      <c r="I102" s="100">
        <v>4576</v>
      </c>
      <c r="J102" s="101">
        <f t="shared" ref="J102:T102" si="35">(J98/J$94)*J95</f>
        <v>5343.3800087671225</v>
      </c>
      <c r="K102" s="101">
        <f t="shared" si="35"/>
        <v>6058.2936829512328</v>
      </c>
      <c r="L102" s="101">
        <f t="shared" si="35"/>
        <v>6887.9344970257725</v>
      </c>
      <c r="M102" s="101">
        <f t="shared" si="35"/>
        <v>7784.121837875733</v>
      </c>
      <c r="N102" s="101">
        <f t="shared" si="35"/>
        <v>8729.1606618288915</v>
      </c>
      <c r="O102" s="101">
        <f t="shared" si="35"/>
        <v>9672.872625010772</v>
      </c>
      <c r="P102" s="101">
        <f t="shared" si="35"/>
        <v>10585.791857655222</v>
      </c>
      <c r="Q102" s="101">
        <f t="shared" si="35"/>
        <v>11479.137654673506</v>
      </c>
      <c r="R102" s="101">
        <f t="shared" si="35"/>
        <v>12256.661097764936</v>
      </c>
      <c r="S102" s="101">
        <f t="shared" si="35"/>
        <v>12966.775944659579</v>
      </c>
      <c r="T102" s="101">
        <f t="shared" si="35"/>
        <v>13549.990614344848</v>
      </c>
    </row>
    <row r="103" spans="3:20">
      <c r="C103" s="60" t="s">
        <v>64</v>
      </c>
      <c r="G103" s="100">
        <v>13626</v>
      </c>
      <c r="H103" s="100">
        <v>12017</v>
      </c>
      <c r="I103" s="100">
        <v>12392</v>
      </c>
      <c r="J103" s="101">
        <f t="shared" ref="J103:T103" si="36">(J99/J$94)*J96</f>
        <v>14010.28924642192</v>
      </c>
      <c r="K103" s="101">
        <f t="shared" si="36"/>
        <v>15709.270873269845</v>
      </c>
      <c r="L103" s="101">
        <f t="shared" si="36"/>
        <v>16256.099008580792</v>
      </c>
      <c r="M103" s="101">
        <f t="shared" si="36"/>
        <v>17968.747409629395</v>
      </c>
      <c r="N103" s="101">
        <f t="shared" si="36"/>
        <v>19763.04506862161</v>
      </c>
      <c r="O103" s="101">
        <f t="shared" si="36"/>
        <v>21518.007767214171</v>
      </c>
      <c r="P103" s="101">
        <f t="shared" si="36"/>
        <v>23211.679665722218</v>
      </c>
      <c r="Q103" s="101">
        <f t="shared" si="36"/>
        <v>25013.915599470616</v>
      </c>
      <c r="R103" s="101">
        <f t="shared" si="36"/>
        <v>26447.039512798758</v>
      </c>
      <c r="S103" s="101">
        <f t="shared" si="36"/>
        <v>27942.646162589594</v>
      </c>
      <c r="T103" s="101">
        <f t="shared" si="36"/>
        <v>29187.641272753448</v>
      </c>
    </row>
    <row r="104" spans="3:20">
      <c r="C104" s="60" t="s">
        <v>65</v>
      </c>
      <c r="G104" s="100">
        <v>14431</v>
      </c>
      <c r="H104" s="100">
        <v>12474</v>
      </c>
      <c r="I104" s="100">
        <v>13371</v>
      </c>
      <c r="J104" s="101">
        <f t="shared" ref="J104:T104" si="37">(J100/J$94)*J96</f>
        <v>14976.516091002741</v>
      </c>
      <c r="K104" s="101">
        <f t="shared" si="37"/>
        <v>16792.668864529831</v>
      </c>
      <c r="L104" s="101">
        <f t="shared" si="37"/>
        <v>17377.209285034638</v>
      </c>
      <c r="M104" s="101">
        <f t="shared" si="37"/>
        <v>19207.971368914179</v>
      </c>
      <c r="N104" s="101">
        <f t="shared" si="37"/>
        <v>21126.013694043788</v>
      </c>
      <c r="O104" s="101">
        <f t="shared" si="37"/>
        <v>23002.008302884111</v>
      </c>
      <c r="P104" s="101">
        <f t="shared" si="37"/>
        <v>24812.485159909957</v>
      </c>
      <c r="Q104" s="101">
        <f t="shared" si="37"/>
        <v>26739.01322702031</v>
      </c>
      <c r="R104" s="101">
        <f t="shared" si="37"/>
        <v>28270.973272302119</v>
      </c>
      <c r="S104" s="101">
        <f t="shared" si="37"/>
        <v>29869.725208285425</v>
      </c>
      <c r="T104" s="101">
        <f t="shared" si="37"/>
        <v>31200.582050184719</v>
      </c>
    </row>
    <row r="105" spans="3:20"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</row>
    <row r="106" spans="3:20">
      <c r="C106" s="64" t="s">
        <v>198</v>
      </c>
      <c r="G106" s="101">
        <f t="shared" ref="G106:T106" si="38">G102+G103</f>
        <v>17134</v>
      </c>
      <c r="H106" s="101">
        <f t="shared" si="38"/>
        <v>16435</v>
      </c>
      <c r="I106" s="101">
        <f t="shared" si="38"/>
        <v>16968</v>
      </c>
      <c r="J106" s="101">
        <f t="shared" si="38"/>
        <v>19353.669255189045</v>
      </c>
      <c r="K106" s="101">
        <f t="shared" si="38"/>
        <v>21767.564556221078</v>
      </c>
      <c r="L106" s="101">
        <f t="shared" si="38"/>
        <v>23144.033505606563</v>
      </c>
      <c r="M106" s="101">
        <f t="shared" si="38"/>
        <v>25752.869247505128</v>
      </c>
      <c r="N106" s="101">
        <f t="shared" si="38"/>
        <v>28492.2057304505</v>
      </c>
      <c r="O106" s="101">
        <f t="shared" si="38"/>
        <v>31190.880392224943</v>
      </c>
      <c r="P106" s="101">
        <f t="shared" si="38"/>
        <v>33797.47152337744</v>
      </c>
      <c r="Q106" s="101">
        <f t="shared" si="38"/>
        <v>36493.053254144121</v>
      </c>
      <c r="R106" s="101">
        <f t="shared" si="38"/>
        <v>38703.700610563697</v>
      </c>
      <c r="S106" s="101">
        <f t="shared" si="38"/>
        <v>40909.422107249171</v>
      </c>
      <c r="T106" s="101">
        <f t="shared" si="38"/>
        <v>42737.631887098294</v>
      </c>
    </row>
    <row r="107" spans="3:20">
      <c r="C107" s="64" t="s">
        <v>199</v>
      </c>
      <c r="G107" s="101">
        <f t="shared" ref="G107:T107" si="39">G104</f>
        <v>14431</v>
      </c>
      <c r="H107" s="101">
        <f t="shared" si="39"/>
        <v>12474</v>
      </c>
      <c r="I107" s="101">
        <f t="shared" si="39"/>
        <v>13371</v>
      </c>
      <c r="J107" s="101">
        <f t="shared" si="39"/>
        <v>14976.516091002741</v>
      </c>
      <c r="K107" s="101">
        <f t="shared" si="39"/>
        <v>16792.668864529831</v>
      </c>
      <c r="L107" s="101">
        <f t="shared" si="39"/>
        <v>17377.209285034638</v>
      </c>
      <c r="M107" s="101">
        <f t="shared" si="39"/>
        <v>19207.971368914179</v>
      </c>
      <c r="N107" s="101">
        <f t="shared" si="39"/>
        <v>21126.013694043788</v>
      </c>
      <c r="O107" s="101">
        <f t="shared" si="39"/>
        <v>23002.008302884111</v>
      </c>
      <c r="P107" s="101">
        <f t="shared" si="39"/>
        <v>24812.485159909957</v>
      </c>
      <c r="Q107" s="101">
        <f t="shared" si="39"/>
        <v>26739.01322702031</v>
      </c>
      <c r="R107" s="101">
        <f t="shared" si="39"/>
        <v>28270.973272302119</v>
      </c>
      <c r="S107" s="101">
        <f t="shared" si="39"/>
        <v>29869.725208285425</v>
      </c>
      <c r="T107" s="101">
        <f t="shared" si="39"/>
        <v>31200.582050184719</v>
      </c>
    </row>
    <row r="108" spans="3:20">
      <c r="C108" s="60" t="s">
        <v>200</v>
      </c>
      <c r="G108" s="103">
        <f t="shared" ref="G108:T108" si="40">G106-G107</f>
        <v>2703</v>
      </c>
      <c r="H108" s="103">
        <f t="shared" si="40"/>
        <v>3961</v>
      </c>
      <c r="I108" s="103">
        <f t="shared" si="40"/>
        <v>3597</v>
      </c>
      <c r="J108" s="103">
        <f t="shared" si="40"/>
        <v>4377.1531641863039</v>
      </c>
      <c r="K108" s="103">
        <f t="shared" si="40"/>
        <v>4974.8956916912466</v>
      </c>
      <c r="L108" s="103">
        <f t="shared" si="40"/>
        <v>5766.8242205719253</v>
      </c>
      <c r="M108" s="103">
        <f t="shared" si="40"/>
        <v>6544.8978785909494</v>
      </c>
      <c r="N108" s="103">
        <f t="shared" si="40"/>
        <v>7366.1920364067118</v>
      </c>
      <c r="O108" s="103">
        <f t="shared" si="40"/>
        <v>8188.8720893408317</v>
      </c>
      <c r="P108" s="103">
        <f t="shared" si="40"/>
        <v>8984.9863634674839</v>
      </c>
      <c r="Q108" s="103">
        <f t="shared" si="40"/>
        <v>9754.0400271238104</v>
      </c>
      <c r="R108" s="103">
        <f t="shared" si="40"/>
        <v>10432.727338261579</v>
      </c>
      <c r="S108" s="103">
        <f t="shared" si="40"/>
        <v>11039.696898963746</v>
      </c>
      <c r="T108" s="103">
        <f t="shared" si="40"/>
        <v>11537.049836913575</v>
      </c>
    </row>
    <row r="109" spans="3:20"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</row>
    <row r="110" spans="3:20">
      <c r="C110" s="60" t="s">
        <v>201</v>
      </c>
      <c r="G110" s="95"/>
      <c r="H110" s="104">
        <f t="shared" ref="H110:T110" si="41">G108-H108</f>
        <v>-1258</v>
      </c>
      <c r="I110" s="104">
        <f t="shared" si="41"/>
        <v>364</v>
      </c>
      <c r="J110" s="104">
        <f t="shared" si="41"/>
        <v>-780.15316418630391</v>
      </c>
      <c r="K110" s="104">
        <f t="shared" si="41"/>
        <v>-597.7425275049427</v>
      </c>
      <c r="L110" s="104">
        <f t="shared" si="41"/>
        <v>-791.92852888067864</v>
      </c>
      <c r="M110" s="104">
        <f t="shared" si="41"/>
        <v>-778.07365801902415</v>
      </c>
      <c r="N110" s="104">
        <f t="shared" si="41"/>
        <v>-821.29415781576245</v>
      </c>
      <c r="O110" s="104">
        <f t="shared" si="41"/>
        <v>-822.68005293411989</v>
      </c>
      <c r="P110" s="104">
        <f t="shared" si="41"/>
        <v>-796.11427412665216</v>
      </c>
      <c r="Q110" s="104">
        <f t="shared" si="41"/>
        <v>-769.05366365632653</v>
      </c>
      <c r="R110" s="104">
        <f t="shared" si="41"/>
        <v>-678.68731113776812</v>
      </c>
      <c r="S110" s="104">
        <f t="shared" si="41"/>
        <v>-606.96956070216766</v>
      </c>
      <c r="T110" s="104">
        <f t="shared" si="41"/>
        <v>-497.35293794982863</v>
      </c>
    </row>
    <row r="112" spans="3:20">
      <c r="C112" s="33" t="s">
        <v>202</v>
      </c>
    </row>
    <row r="114" spans="2:21" ht="20.25" customHeight="1">
      <c r="B114" s="58" t="s">
        <v>16</v>
      </c>
      <c r="C114" s="27" t="s">
        <v>203</v>
      </c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</row>
    <row r="116" spans="2:21">
      <c r="C116" s="33" t="s">
        <v>19</v>
      </c>
      <c r="G116" s="84">
        <v>2023</v>
      </c>
      <c r="H116" s="84">
        <v>2024</v>
      </c>
      <c r="I116" s="84">
        <v>2025</v>
      </c>
      <c r="J116" s="84">
        <f>Inputs!H$13</f>
        <v>2026</v>
      </c>
      <c r="K116" s="84">
        <f>Inputs!I$13</f>
        <v>2027</v>
      </c>
      <c r="L116" s="84">
        <f>Inputs!J$13</f>
        <v>2028</v>
      </c>
      <c r="M116" s="84">
        <f>Inputs!K$13</f>
        <v>2029</v>
      </c>
      <c r="N116" s="84">
        <f>Inputs!L$13</f>
        <v>2030</v>
      </c>
      <c r="O116" s="84">
        <f>Inputs!M$13</f>
        <v>2031</v>
      </c>
      <c r="P116" s="84">
        <f>Inputs!N$13</f>
        <v>2032</v>
      </c>
      <c r="Q116" s="84">
        <f>Inputs!O$13</f>
        <v>2033</v>
      </c>
      <c r="R116" s="84">
        <f>Inputs!P$13</f>
        <v>2034</v>
      </c>
      <c r="S116" s="84">
        <f>Inputs!Q$13</f>
        <v>2035</v>
      </c>
      <c r="T116" s="84" t="s">
        <v>47</v>
      </c>
    </row>
    <row r="117" spans="2:21">
      <c r="C117" s="45" t="str">
        <f>IF(Inputs!$E$11=1,"Best Case Selected",IF(Inputs!$E$11=2,"Base Case Selected","Worst Case Selected"))</f>
        <v>Base Case Selected</v>
      </c>
    </row>
    <row r="119" spans="2:21">
      <c r="C119" s="60" t="s">
        <v>59</v>
      </c>
      <c r="G119" s="100">
        <v>8898</v>
      </c>
      <c r="H119" s="100">
        <v>11339</v>
      </c>
      <c r="I119" s="100">
        <v>12923</v>
      </c>
      <c r="J119" s="106">
        <f>Inputs!H64</f>
        <v>24000</v>
      </c>
      <c r="K119" s="106">
        <f>Inputs!I64</f>
        <v>17000</v>
      </c>
      <c r="L119" s="106">
        <f>Inputs!J64</f>
        <v>15000</v>
      </c>
      <c r="M119" s="106">
        <f>Inputs!K64</f>
        <v>14000</v>
      </c>
      <c r="N119" s="106">
        <f>Inputs!L64</f>
        <v>13500</v>
      </c>
      <c r="O119" s="106">
        <f>Inputs!M64</f>
        <v>13500</v>
      </c>
      <c r="P119" s="106">
        <f>Inputs!N64</f>
        <v>14000</v>
      </c>
      <c r="Q119" s="106">
        <f>Inputs!O64</f>
        <v>14500</v>
      </c>
      <c r="R119" s="106">
        <f>Inputs!P64</f>
        <v>15000</v>
      </c>
      <c r="S119" s="106">
        <f>Inputs!Q64</f>
        <v>15500</v>
      </c>
      <c r="T119" s="101">
        <f>$T$121</f>
        <v>15269.75</v>
      </c>
    </row>
    <row r="120" spans="2:21"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</row>
    <row r="121" spans="2:21">
      <c r="C121" s="60" t="s">
        <v>204</v>
      </c>
      <c r="G121" s="102"/>
      <c r="H121" s="102"/>
      <c r="I121" s="102"/>
      <c r="J121" s="104">
        <f t="shared" ref="J121:T121" si="42">J146</f>
        <v>6855.875</v>
      </c>
      <c r="K121" s="104">
        <f t="shared" si="42"/>
        <v>8905.875</v>
      </c>
      <c r="L121" s="104">
        <f t="shared" si="42"/>
        <v>10505.875</v>
      </c>
      <c r="M121" s="104">
        <f t="shared" si="42"/>
        <v>11955.875</v>
      </c>
      <c r="N121" s="104">
        <f t="shared" si="42"/>
        <v>13330.875</v>
      </c>
      <c r="O121" s="104">
        <f t="shared" si="42"/>
        <v>14680.875</v>
      </c>
      <c r="P121" s="104">
        <f t="shared" si="42"/>
        <v>16055.875</v>
      </c>
      <c r="Q121" s="104">
        <f t="shared" si="42"/>
        <v>17480.875</v>
      </c>
      <c r="R121" s="104">
        <f t="shared" si="42"/>
        <v>13300</v>
      </c>
      <c r="S121" s="104">
        <f t="shared" si="42"/>
        <v>14825</v>
      </c>
      <c r="T121" s="104">
        <f t="shared" si="42"/>
        <v>15269.75</v>
      </c>
    </row>
    <row r="123" spans="2:21">
      <c r="C123" s="45" t="s">
        <v>205</v>
      </c>
      <c r="E123" s="33" t="s">
        <v>206</v>
      </c>
      <c r="J123" s="33" t="s">
        <v>207</v>
      </c>
    </row>
    <row r="124" spans="2:21">
      <c r="C124" s="64" t="s">
        <v>140</v>
      </c>
      <c r="E124" s="69">
        <f>Inputs!$M$143</f>
        <v>8</v>
      </c>
    </row>
    <row r="125" spans="2:21">
      <c r="C125" s="64" t="s">
        <v>208</v>
      </c>
      <c r="E125" s="96">
        <f>Inputs!$M$133</f>
        <v>45247</v>
      </c>
      <c r="J125" s="72">
        <f>MIN($E$124-SUM($I$125:I125),1)</f>
        <v>1</v>
      </c>
      <c r="K125" s="72">
        <f>MIN($E$124-SUM($I$125:J125),1)</f>
        <v>1</v>
      </c>
      <c r="L125" s="72">
        <f>MIN($E$124-SUM($I$125:K125),1)</f>
        <v>1</v>
      </c>
      <c r="M125" s="72">
        <f>MIN($E$124-SUM($I$125:L125),1)</f>
        <v>1</v>
      </c>
      <c r="N125" s="72">
        <f>MIN($E$124-SUM($I$125:M125),1)</f>
        <v>1</v>
      </c>
      <c r="O125" s="72">
        <f>MIN($E$124-SUM($I$125:N125),1)</f>
        <v>1</v>
      </c>
      <c r="P125" s="72">
        <f>MIN($E$124-SUM($I$125:O125),1)</f>
        <v>1</v>
      </c>
      <c r="Q125" s="72">
        <f>MIN($E$124-SUM($I$125:P125),1)</f>
        <v>1</v>
      </c>
      <c r="R125" s="72">
        <f>MIN($E$124-SUM($I$125:Q125),1)</f>
        <v>0</v>
      </c>
      <c r="S125" s="72">
        <f>MIN($E$124-SUM($I$125:R125),1)</f>
        <v>0</v>
      </c>
    </row>
    <row r="127" spans="2:21">
      <c r="C127" s="45" t="s">
        <v>209</v>
      </c>
      <c r="E127" s="33" t="s">
        <v>206</v>
      </c>
    </row>
    <row r="128" spans="2:21">
      <c r="C128" s="64" t="s">
        <v>143</v>
      </c>
      <c r="E128" s="69">
        <f>Inputs!$M$144</f>
        <v>10</v>
      </c>
    </row>
    <row r="129" spans="3:20">
      <c r="C129" s="64" t="s">
        <v>139</v>
      </c>
      <c r="E129" s="96">
        <f>Inputs!$M$142</f>
        <v>0.5</v>
      </c>
    </row>
    <row r="131" spans="3:20">
      <c r="G131" s="88" t="s">
        <v>210</v>
      </c>
      <c r="H131" s="88" t="s">
        <v>211</v>
      </c>
      <c r="I131" s="88" t="s">
        <v>212</v>
      </c>
      <c r="J131" s="84">
        <f t="shared" ref="J131:S131" si="43">J$116</f>
        <v>2026</v>
      </c>
      <c r="K131" s="84">
        <f t="shared" si="43"/>
        <v>2027</v>
      </c>
      <c r="L131" s="84">
        <f t="shared" si="43"/>
        <v>2028</v>
      </c>
      <c r="M131" s="84">
        <f t="shared" si="43"/>
        <v>2029</v>
      </c>
      <c r="N131" s="84">
        <f t="shared" si="43"/>
        <v>2030</v>
      </c>
      <c r="O131" s="84">
        <f t="shared" si="43"/>
        <v>2031</v>
      </c>
      <c r="P131" s="84">
        <f t="shared" si="43"/>
        <v>2032</v>
      </c>
      <c r="Q131" s="84">
        <f t="shared" si="43"/>
        <v>2033</v>
      </c>
      <c r="R131" s="84">
        <f t="shared" si="43"/>
        <v>2034</v>
      </c>
      <c r="S131" s="84">
        <f t="shared" si="43"/>
        <v>2035</v>
      </c>
    </row>
    <row r="132" spans="3:20">
      <c r="G132" s="67">
        <f>J$116</f>
        <v>2026</v>
      </c>
      <c r="H132" s="101">
        <f t="shared" ref="H132:H141" si="44">SUMIF($J$116:$S$116,$G132,$J$119:$S$119)</f>
        <v>24000</v>
      </c>
      <c r="I132" s="101">
        <f t="shared" ref="I132:I141" si="45">$H132/$E$128</f>
        <v>2400</v>
      </c>
      <c r="J132" s="101">
        <f t="shared" ref="J132:S141" si="46">IF(J$116&lt;$G132,0,IF(J$116=$G132,$I132*$E$129,$I132))</f>
        <v>1200</v>
      </c>
      <c r="K132" s="101">
        <f t="shared" si="46"/>
        <v>2400</v>
      </c>
      <c r="L132" s="101">
        <f t="shared" si="46"/>
        <v>2400</v>
      </c>
      <c r="M132" s="101">
        <f t="shared" si="46"/>
        <v>2400</v>
      </c>
      <c r="N132" s="101">
        <f t="shared" si="46"/>
        <v>2400</v>
      </c>
      <c r="O132" s="101">
        <f t="shared" si="46"/>
        <v>2400</v>
      </c>
      <c r="P132" s="101">
        <f t="shared" si="46"/>
        <v>2400</v>
      </c>
      <c r="Q132" s="101">
        <f t="shared" si="46"/>
        <v>2400</v>
      </c>
      <c r="R132" s="101">
        <f t="shared" si="46"/>
        <v>2400</v>
      </c>
      <c r="S132" s="101">
        <f t="shared" si="46"/>
        <v>2400</v>
      </c>
    </row>
    <row r="133" spans="3:20">
      <c r="G133" s="67">
        <f>K$116</f>
        <v>2027</v>
      </c>
      <c r="H133" s="101">
        <f t="shared" si="44"/>
        <v>17000</v>
      </c>
      <c r="I133" s="101">
        <f t="shared" si="45"/>
        <v>1700</v>
      </c>
      <c r="J133" s="101">
        <f t="shared" si="46"/>
        <v>0</v>
      </c>
      <c r="K133" s="101">
        <f t="shared" si="46"/>
        <v>850</v>
      </c>
      <c r="L133" s="101">
        <f t="shared" si="46"/>
        <v>1700</v>
      </c>
      <c r="M133" s="101">
        <f t="shared" si="46"/>
        <v>1700</v>
      </c>
      <c r="N133" s="101">
        <f t="shared" si="46"/>
        <v>1700</v>
      </c>
      <c r="O133" s="101">
        <f t="shared" si="46"/>
        <v>1700</v>
      </c>
      <c r="P133" s="101">
        <f t="shared" si="46"/>
        <v>1700</v>
      </c>
      <c r="Q133" s="101">
        <f t="shared" si="46"/>
        <v>1700</v>
      </c>
      <c r="R133" s="101">
        <f t="shared" si="46"/>
        <v>1700</v>
      </c>
      <c r="S133" s="101">
        <f t="shared" si="46"/>
        <v>1700</v>
      </c>
    </row>
    <row r="134" spans="3:20">
      <c r="G134" s="67">
        <f>L$116</f>
        <v>2028</v>
      </c>
      <c r="H134" s="101">
        <f t="shared" si="44"/>
        <v>15000</v>
      </c>
      <c r="I134" s="101">
        <f t="shared" si="45"/>
        <v>1500</v>
      </c>
      <c r="J134" s="101">
        <f t="shared" si="46"/>
        <v>0</v>
      </c>
      <c r="K134" s="101">
        <f t="shared" si="46"/>
        <v>0</v>
      </c>
      <c r="L134" s="101">
        <f t="shared" si="46"/>
        <v>750</v>
      </c>
      <c r="M134" s="101">
        <f t="shared" si="46"/>
        <v>1500</v>
      </c>
      <c r="N134" s="101">
        <f t="shared" si="46"/>
        <v>1500</v>
      </c>
      <c r="O134" s="101">
        <f t="shared" si="46"/>
        <v>1500</v>
      </c>
      <c r="P134" s="101">
        <f t="shared" si="46"/>
        <v>1500</v>
      </c>
      <c r="Q134" s="101">
        <f t="shared" si="46"/>
        <v>1500</v>
      </c>
      <c r="R134" s="101">
        <f t="shared" si="46"/>
        <v>1500</v>
      </c>
      <c r="S134" s="101">
        <f t="shared" si="46"/>
        <v>1500</v>
      </c>
    </row>
    <row r="135" spans="3:20">
      <c r="G135" s="67">
        <f>M$116</f>
        <v>2029</v>
      </c>
      <c r="H135" s="101">
        <f t="shared" si="44"/>
        <v>14000</v>
      </c>
      <c r="I135" s="101">
        <f t="shared" si="45"/>
        <v>1400</v>
      </c>
      <c r="J135" s="101">
        <f t="shared" si="46"/>
        <v>0</v>
      </c>
      <c r="K135" s="101">
        <f t="shared" si="46"/>
        <v>0</v>
      </c>
      <c r="L135" s="101">
        <f t="shared" si="46"/>
        <v>0</v>
      </c>
      <c r="M135" s="101">
        <f t="shared" si="46"/>
        <v>700</v>
      </c>
      <c r="N135" s="101">
        <f t="shared" si="46"/>
        <v>1400</v>
      </c>
      <c r="O135" s="101">
        <f t="shared" si="46"/>
        <v>1400</v>
      </c>
      <c r="P135" s="101">
        <f t="shared" si="46"/>
        <v>1400</v>
      </c>
      <c r="Q135" s="101">
        <f t="shared" si="46"/>
        <v>1400</v>
      </c>
      <c r="R135" s="101">
        <f t="shared" si="46"/>
        <v>1400</v>
      </c>
      <c r="S135" s="101">
        <f t="shared" si="46"/>
        <v>1400</v>
      </c>
    </row>
    <row r="136" spans="3:20">
      <c r="G136" s="67">
        <f>N$116</f>
        <v>2030</v>
      </c>
      <c r="H136" s="101">
        <f t="shared" si="44"/>
        <v>13500</v>
      </c>
      <c r="I136" s="101">
        <f t="shared" si="45"/>
        <v>1350</v>
      </c>
      <c r="J136" s="101">
        <f t="shared" si="46"/>
        <v>0</v>
      </c>
      <c r="K136" s="101">
        <f t="shared" si="46"/>
        <v>0</v>
      </c>
      <c r="L136" s="101">
        <f t="shared" si="46"/>
        <v>0</v>
      </c>
      <c r="M136" s="101">
        <f t="shared" si="46"/>
        <v>0</v>
      </c>
      <c r="N136" s="101">
        <f t="shared" si="46"/>
        <v>675</v>
      </c>
      <c r="O136" s="101">
        <f t="shared" si="46"/>
        <v>1350</v>
      </c>
      <c r="P136" s="101">
        <f t="shared" si="46"/>
        <v>1350</v>
      </c>
      <c r="Q136" s="101">
        <f t="shared" si="46"/>
        <v>1350</v>
      </c>
      <c r="R136" s="101">
        <f t="shared" si="46"/>
        <v>1350</v>
      </c>
      <c r="S136" s="101">
        <f t="shared" si="46"/>
        <v>1350</v>
      </c>
    </row>
    <row r="137" spans="3:20">
      <c r="G137" s="67">
        <f>O$116</f>
        <v>2031</v>
      </c>
      <c r="H137" s="101">
        <f t="shared" si="44"/>
        <v>13500</v>
      </c>
      <c r="I137" s="101">
        <f t="shared" si="45"/>
        <v>1350</v>
      </c>
      <c r="J137" s="101">
        <f t="shared" si="46"/>
        <v>0</v>
      </c>
      <c r="K137" s="101">
        <f t="shared" si="46"/>
        <v>0</v>
      </c>
      <c r="L137" s="101">
        <f t="shared" si="46"/>
        <v>0</v>
      </c>
      <c r="M137" s="101">
        <f t="shared" si="46"/>
        <v>0</v>
      </c>
      <c r="N137" s="101">
        <f t="shared" si="46"/>
        <v>0</v>
      </c>
      <c r="O137" s="101">
        <f t="shared" si="46"/>
        <v>675</v>
      </c>
      <c r="P137" s="101">
        <f t="shared" si="46"/>
        <v>1350</v>
      </c>
      <c r="Q137" s="101">
        <f t="shared" si="46"/>
        <v>1350</v>
      </c>
      <c r="R137" s="101">
        <f t="shared" si="46"/>
        <v>1350</v>
      </c>
      <c r="S137" s="101">
        <f t="shared" si="46"/>
        <v>1350</v>
      </c>
    </row>
    <row r="138" spans="3:20">
      <c r="G138" s="67">
        <f>P$116</f>
        <v>2032</v>
      </c>
      <c r="H138" s="101">
        <f t="shared" si="44"/>
        <v>14000</v>
      </c>
      <c r="I138" s="101">
        <f t="shared" si="45"/>
        <v>1400</v>
      </c>
      <c r="J138" s="101">
        <f t="shared" si="46"/>
        <v>0</v>
      </c>
      <c r="K138" s="101">
        <f t="shared" si="46"/>
        <v>0</v>
      </c>
      <c r="L138" s="101">
        <f t="shared" si="46"/>
        <v>0</v>
      </c>
      <c r="M138" s="101">
        <f t="shared" si="46"/>
        <v>0</v>
      </c>
      <c r="N138" s="101">
        <f t="shared" si="46"/>
        <v>0</v>
      </c>
      <c r="O138" s="101">
        <f t="shared" si="46"/>
        <v>0</v>
      </c>
      <c r="P138" s="101">
        <f t="shared" si="46"/>
        <v>700</v>
      </c>
      <c r="Q138" s="101">
        <f t="shared" si="46"/>
        <v>1400</v>
      </c>
      <c r="R138" s="101">
        <f t="shared" si="46"/>
        <v>1400</v>
      </c>
      <c r="S138" s="101">
        <f t="shared" si="46"/>
        <v>1400</v>
      </c>
    </row>
    <row r="139" spans="3:20">
      <c r="G139" s="67">
        <f>Q$116</f>
        <v>2033</v>
      </c>
      <c r="H139" s="101">
        <f t="shared" si="44"/>
        <v>14500</v>
      </c>
      <c r="I139" s="101">
        <f t="shared" si="45"/>
        <v>1450</v>
      </c>
      <c r="J139" s="101">
        <f t="shared" si="46"/>
        <v>0</v>
      </c>
      <c r="K139" s="101">
        <f t="shared" si="46"/>
        <v>0</v>
      </c>
      <c r="L139" s="101">
        <f t="shared" si="46"/>
        <v>0</v>
      </c>
      <c r="M139" s="101">
        <f t="shared" si="46"/>
        <v>0</v>
      </c>
      <c r="N139" s="101">
        <f t="shared" si="46"/>
        <v>0</v>
      </c>
      <c r="O139" s="101">
        <f t="shared" si="46"/>
        <v>0</v>
      </c>
      <c r="P139" s="101">
        <f t="shared" si="46"/>
        <v>0</v>
      </c>
      <c r="Q139" s="101">
        <f t="shared" si="46"/>
        <v>725</v>
      </c>
      <c r="R139" s="101">
        <f t="shared" si="46"/>
        <v>1450</v>
      </c>
      <c r="S139" s="101">
        <f t="shared" si="46"/>
        <v>1450</v>
      </c>
    </row>
    <row r="140" spans="3:20">
      <c r="G140" s="67">
        <f>R$116</f>
        <v>2034</v>
      </c>
      <c r="H140" s="101">
        <f t="shared" si="44"/>
        <v>15000</v>
      </c>
      <c r="I140" s="101">
        <f t="shared" si="45"/>
        <v>1500</v>
      </c>
      <c r="J140" s="101">
        <f t="shared" si="46"/>
        <v>0</v>
      </c>
      <c r="K140" s="101">
        <f t="shared" si="46"/>
        <v>0</v>
      </c>
      <c r="L140" s="101">
        <f t="shared" si="46"/>
        <v>0</v>
      </c>
      <c r="M140" s="101">
        <f t="shared" si="46"/>
        <v>0</v>
      </c>
      <c r="N140" s="101">
        <f t="shared" si="46"/>
        <v>0</v>
      </c>
      <c r="O140" s="101">
        <f t="shared" si="46"/>
        <v>0</v>
      </c>
      <c r="P140" s="101">
        <f t="shared" si="46"/>
        <v>0</v>
      </c>
      <c r="Q140" s="101">
        <f t="shared" si="46"/>
        <v>0</v>
      </c>
      <c r="R140" s="101">
        <f t="shared" si="46"/>
        <v>750</v>
      </c>
      <c r="S140" s="101">
        <f t="shared" si="46"/>
        <v>1500</v>
      </c>
    </row>
    <row r="141" spans="3:20">
      <c r="G141" s="67">
        <f>S$116</f>
        <v>2035</v>
      </c>
      <c r="H141" s="101">
        <f t="shared" si="44"/>
        <v>15500</v>
      </c>
      <c r="I141" s="101">
        <f t="shared" si="45"/>
        <v>1550</v>
      </c>
      <c r="J141" s="101">
        <f t="shared" si="46"/>
        <v>0</v>
      </c>
      <c r="K141" s="101">
        <f t="shared" si="46"/>
        <v>0</v>
      </c>
      <c r="L141" s="101">
        <f t="shared" si="46"/>
        <v>0</v>
      </c>
      <c r="M141" s="101">
        <f t="shared" si="46"/>
        <v>0</v>
      </c>
      <c r="N141" s="101">
        <f t="shared" si="46"/>
        <v>0</v>
      </c>
      <c r="O141" s="101">
        <f t="shared" si="46"/>
        <v>0</v>
      </c>
      <c r="P141" s="101">
        <f t="shared" si="46"/>
        <v>0</v>
      </c>
      <c r="Q141" s="101">
        <f t="shared" si="46"/>
        <v>0</v>
      </c>
      <c r="R141" s="101">
        <f t="shared" si="46"/>
        <v>0</v>
      </c>
      <c r="S141" s="101">
        <f t="shared" si="46"/>
        <v>775</v>
      </c>
    </row>
    <row r="143" spans="3:20">
      <c r="C143" s="45" t="s">
        <v>213</v>
      </c>
    </row>
    <row r="144" spans="3:20">
      <c r="C144" s="64" t="s">
        <v>214</v>
      </c>
      <c r="J144" s="101">
        <f t="shared" ref="J144:S144" si="47">($E$125/$E$124)*J125</f>
        <v>5655.875</v>
      </c>
      <c r="K144" s="101">
        <f t="shared" si="47"/>
        <v>5655.875</v>
      </c>
      <c r="L144" s="101">
        <f t="shared" si="47"/>
        <v>5655.875</v>
      </c>
      <c r="M144" s="101">
        <f t="shared" si="47"/>
        <v>5655.875</v>
      </c>
      <c r="N144" s="101">
        <f t="shared" si="47"/>
        <v>5655.875</v>
      </c>
      <c r="O144" s="101">
        <f t="shared" si="47"/>
        <v>5655.875</v>
      </c>
      <c r="P144" s="101">
        <f t="shared" si="47"/>
        <v>5655.875</v>
      </c>
      <c r="Q144" s="101">
        <f t="shared" si="47"/>
        <v>5655.875</v>
      </c>
      <c r="R144" s="101">
        <f t="shared" si="47"/>
        <v>0</v>
      </c>
      <c r="S144" s="101">
        <f t="shared" si="47"/>
        <v>0</v>
      </c>
      <c r="T144" s="102"/>
    </row>
    <row r="145" spans="2:21">
      <c r="C145" s="64" t="s">
        <v>215</v>
      </c>
      <c r="J145" s="101">
        <f t="shared" ref="J145:S145" si="48">SUM(J132:J141)</f>
        <v>1200</v>
      </c>
      <c r="K145" s="101">
        <f t="shared" si="48"/>
        <v>3250</v>
      </c>
      <c r="L145" s="101">
        <f t="shared" si="48"/>
        <v>4850</v>
      </c>
      <c r="M145" s="101">
        <f t="shared" si="48"/>
        <v>6300</v>
      </c>
      <c r="N145" s="101">
        <f t="shared" si="48"/>
        <v>7675</v>
      </c>
      <c r="O145" s="101">
        <f t="shared" si="48"/>
        <v>9025</v>
      </c>
      <c r="P145" s="101">
        <f t="shared" si="48"/>
        <v>10400</v>
      </c>
      <c r="Q145" s="101">
        <f t="shared" si="48"/>
        <v>11825</v>
      </c>
      <c r="R145" s="101">
        <f t="shared" si="48"/>
        <v>13300</v>
      </c>
      <c r="S145" s="101">
        <f t="shared" si="48"/>
        <v>14825</v>
      </c>
      <c r="T145" s="102"/>
    </row>
    <row r="146" spans="2:21">
      <c r="C146" s="60" t="s">
        <v>204</v>
      </c>
      <c r="J146" s="103">
        <f t="shared" ref="J146:S146" si="49">J144+J145</f>
        <v>6855.875</v>
      </c>
      <c r="K146" s="103">
        <f t="shared" si="49"/>
        <v>8905.875</v>
      </c>
      <c r="L146" s="103">
        <f t="shared" si="49"/>
        <v>10505.875</v>
      </c>
      <c r="M146" s="103">
        <f t="shared" si="49"/>
        <v>11955.875</v>
      </c>
      <c r="N146" s="103">
        <f t="shared" si="49"/>
        <v>13330.875</v>
      </c>
      <c r="O146" s="103">
        <f t="shared" si="49"/>
        <v>14680.875</v>
      </c>
      <c r="P146" s="103">
        <f t="shared" si="49"/>
        <v>16055.875</v>
      </c>
      <c r="Q146" s="103">
        <f t="shared" si="49"/>
        <v>17480.875</v>
      </c>
      <c r="R146" s="103">
        <f t="shared" si="49"/>
        <v>13300</v>
      </c>
      <c r="S146" s="103">
        <f t="shared" si="49"/>
        <v>14825</v>
      </c>
      <c r="T146" s="103">
        <f>$S$146*(1+Inputs!$G$142)</f>
        <v>15269.75</v>
      </c>
    </row>
    <row r="148" spans="2:21">
      <c r="C148" s="33" t="s">
        <v>216</v>
      </c>
    </row>
    <row r="149" spans="2:21">
      <c r="C149" s="33" t="s">
        <v>217</v>
      </c>
    </row>
    <row r="150" spans="2:21" ht="20.25" customHeight="1">
      <c r="B150" s="58" t="s">
        <v>16</v>
      </c>
      <c r="C150" s="27" t="s">
        <v>218</v>
      </c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</row>
    <row r="152" spans="2:21">
      <c r="C152" s="33" t="s">
        <v>19</v>
      </c>
      <c r="I152" s="84">
        <v>2025</v>
      </c>
      <c r="J152" s="84">
        <f>Inputs!H$13</f>
        <v>2026</v>
      </c>
      <c r="K152" s="84">
        <f>Inputs!I$13</f>
        <v>2027</v>
      </c>
      <c r="L152" s="84">
        <f>Inputs!J$13</f>
        <v>2028</v>
      </c>
      <c r="M152" s="84">
        <f>Inputs!K$13</f>
        <v>2029</v>
      </c>
      <c r="N152" s="84">
        <f>Inputs!L$13</f>
        <v>2030</v>
      </c>
      <c r="O152" s="84">
        <f>Inputs!M$13</f>
        <v>2031</v>
      </c>
      <c r="P152" s="84">
        <f>Inputs!N$13</f>
        <v>2032</v>
      </c>
      <c r="Q152" s="84">
        <f>Inputs!O$13</f>
        <v>2033</v>
      </c>
      <c r="R152" s="84">
        <f>Inputs!P$13</f>
        <v>2034</v>
      </c>
      <c r="S152" s="84">
        <f>Inputs!Q$13</f>
        <v>2035</v>
      </c>
    </row>
    <row r="153" spans="2:21">
      <c r="C153" s="45" t="str">
        <f>IF(Inputs!$E$11=1,"Best Case Selected",IF(Inputs!$E$11=2,"Base Case Selected","Worst Case Selected"))</f>
        <v>Base Case Selected</v>
      </c>
    </row>
    <row r="155" spans="2:21">
      <c r="C155" s="64" t="s">
        <v>59</v>
      </c>
      <c r="J155" s="101">
        <f t="shared" ref="J155:S155" si="50">J119</f>
        <v>24000</v>
      </c>
      <c r="K155" s="101">
        <f t="shared" si="50"/>
        <v>17000</v>
      </c>
      <c r="L155" s="101">
        <f t="shared" si="50"/>
        <v>15000</v>
      </c>
      <c r="M155" s="101">
        <f t="shared" si="50"/>
        <v>14000</v>
      </c>
      <c r="N155" s="101">
        <f t="shared" si="50"/>
        <v>13500</v>
      </c>
      <c r="O155" s="101">
        <f t="shared" si="50"/>
        <v>13500</v>
      </c>
      <c r="P155" s="101">
        <f t="shared" si="50"/>
        <v>14000</v>
      </c>
      <c r="Q155" s="101">
        <f t="shared" si="50"/>
        <v>14500</v>
      </c>
      <c r="R155" s="101">
        <f t="shared" si="50"/>
        <v>15000</v>
      </c>
      <c r="S155" s="101">
        <f t="shared" si="50"/>
        <v>15500</v>
      </c>
    </row>
    <row r="157" spans="2:21">
      <c r="C157" s="64" t="s">
        <v>137</v>
      </c>
      <c r="E157" s="65">
        <f>Inputs!$M$140</f>
        <v>0.5</v>
      </c>
    </row>
    <row r="158" spans="2:21">
      <c r="C158" s="64" t="s">
        <v>138</v>
      </c>
      <c r="E158" s="65">
        <f>Inputs!$M$141</f>
        <v>0.2</v>
      </c>
    </row>
    <row r="160" spans="2:21">
      <c r="C160" s="45" t="s">
        <v>219</v>
      </c>
    </row>
    <row r="161" spans="2:21">
      <c r="C161" s="64" t="s">
        <v>220</v>
      </c>
      <c r="I161" s="95"/>
      <c r="J161" s="101">
        <f t="shared" ref="J161:S161" si="51">I164</f>
        <v>45247</v>
      </c>
      <c r="K161" s="101">
        <f t="shared" si="51"/>
        <v>62391.125</v>
      </c>
      <c r="L161" s="101">
        <f t="shared" si="51"/>
        <v>70485.25</v>
      </c>
      <c r="M161" s="101">
        <f t="shared" si="51"/>
        <v>74979.375</v>
      </c>
      <c r="N161" s="101">
        <f t="shared" si="51"/>
        <v>77023.5</v>
      </c>
      <c r="O161" s="101">
        <f t="shared" si="51"/>
        <v>77192.625</v>
      </c>
      <c r="P161" s="101">
        <f t="shared" si="51"/>
        <v>76011.75</v>
      </c>
      <c r="Q161" s="101">
        <f t="shared" si="51"/>
        <v>73955.875</v>
      </c>
      <c r="R161" s="101">
        <f t="shared" si="51"/>
        <v>70975</v>
      </c>
      <c r="S161" s="101">
        <f t="shared" si="51"/>
        <v>72675</v>
      </c>
    </row>
    <row r="162" spans="2:21">
      <c r="C162" s="64" t="s">
        <v>59</v>
      </c>
      <c r="I162" s="95"/>
      <c r="J162" s="101">
        <f t="shared" ref="J162:S162" si="52">J155</f>
        <v>24000</v>
      </c>
      <c r="K162" s="101">
        <f t="shared" si="52"/>
        <v>17000</v>
      </c>
      <c r="L162" s="101">
        <f t="shared" si="52"/>
        <v>15000</v>
      </c>
      <c r="M162" s="101">
        <f t="shared" si="52"/>
        <v>14000</v>
      </c>
      <c r="N162" s="101">
        <f t="shared" si="52"/>
        <v>13500</v>
      </c>
      <c r="O162" s="101">
        <f t="shared" si="52"/>
        <v>13500</v>
      </c>
      <c r="P162" s="101">
        <f t="shared" si="52"/>
        <v>14000</v>
      </c>
      <c r="Q162" s="101">
        <f t="shared" si="52"/>
        <v>14500</v>
      </c>
      <c r="R162" s="101">
        <f t="shared" si="52"/>
        <v>15000</v>
      </c>
      <c r="S162" s="101">
        <f t="shared" si="52"/>
        <v>15500</v>
      </c>
    </row>
    <row r="163" spans="2:21">
      <c r="C163" s="64" t="s">
        <v>221</v>
      </c>
      <c r="I163" s="95"/>
      <c r="J163" s="101">
        <f t="shared" ref="J163:S163" si="53">-J146</f>
        <v>-6855.875</v>
      </c>
      <c r="K163" s="101">
        <f t="shared" si="53"/>
        <v>-8905.875</v>
      </c>
      <c r="L163" s="101">
        <f t="shared" si="53"/>
        <v>-10505.875</v>
      </c>
      <c r="M163" s="101">
        <f t="shared" si="53"/>
        <v>-11955.875</v>
      </c>
      <c r="N163" s="101">
        <f t="shared" si="53"/>
        <v>-13330.875</v>
      </c>
      <c r="O163" s="101">
        <f t="shared" si="53"/>
        <v>-14680.875</v>
      </c>
      <c r="P163" s="101">
        <f t="shared" si="53"/>
        <v>-16055.875</v>
      </c>
      <c r="Q163" s="101">
        <f t="shared" si="53"/>
        <v>-17480.875</v>
      </c>
      <c r="R163" s="101">
        <f t="shared" si="53"/>
        <v>-13300</v>
      </c>
      <c r="S163" s="101">
        <f t="shared" si="53"/>
        <v>-14825</v>
      </c>
    </row>
    <row r="164" spans="2:21">
      <c r="C164" s="60" t="s">
        <v>222</v>
      </c>
      <c r="I164" s="106">
        <f>$E$125</f>
        <v>45247</v>
      </c>
      <c r="J164" s="103">
        <f t="shared" ref="J164:S164" si="54">SUM(J161:J163)</f>
        <v>62391.125</v>
      </c>
      <c r="K164" s="103">
        <f t="shared" si="54"/>
        <v>70485.25</v>
      </c>
      <c r="L164" s="103">
        <f t="shared" si="54"/>
        <v>74979.375</v>
      </c>
      <c r="M164" s="103">
        <f t="shared" si="54"/>
        <v>77023.5</v>
      </c>
      <c r="N164" s="103">
        <f t="shared" si="54"/>
        <v>77192.625</v>
      </c>
      <c r="O164" s="103">
        <f t="shared" si="54"/>
        <v>76011.75</v>
      </c>
      <c r="P164" s="103">
        <f t="shared" si="54"/>
        <v>73955.875</v>
      </c>
      <c r="Q164" s="103">
        <f t="shared" si="54"/>
        <v>70975</v>
      </c>
      <c r="R164" s="103">
        <f t="shared" si="54"/>
        <v>72675</v>
      </c>
      <c r="S164" s="103">
        <f t="shared" si="54"/>
        <v>73350</v>
      </c>
    </row>
    <row r="165" spans="2:21"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</row>
    <row r="166" spans="2:21">
      <c r="C166" s="45" t="s">
        <v>223</v>
      </c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</row>
    <row r="167" spans="2:21">
      <c r="C167" s="64" t="s">
        <v>220</v>
      </c>
      <c r="I167" s="102"/>
      <c r="J167" s="101">
        <f t="shared" ref="J167:S167" si="55">I170</f>
        <v>34000</v>
      </c>
      <c r="K167" s="101">
        <f t="shared" si="55"/>
        <v>48800</v>
      </c>
      <c r="L167" s="101">
        <f t="shared" si="55"/>
        <v>54340</v>
      </c>
      <c r="M167" s="101">
        <f t="shared" si="55"/>
        <v>56972</v>
      </c>
      <c r="N167" s="101">
        <f t="shared" si="55"/>
        <v>58177.599999999999</v>
      </c>
      <c r="O167" s="101">
        <f t="shared" si="55"/>
        <v>58692.08</v>
      </c>
      <c r="P167" s="101">
        <f t="shared" si="55"/>
        <v>59103.664000000004</v>
      </c>
      <c r="Q167" s="101">
        <f t="shared" si="55"/>
        <v>59882.931200000006</v>
      </c>
      <c r="R167" s="101">
        <f t="shared" si="55"/>
        <v>60956.344960000002</v>
      </c>
      <c r="S167" s="101">
        <f t="shared" si="55"/>
        <v>62265.075968000005</v>
      </c>
    </row>
    <row r="168" spans="2:21">
      <c r="C168" s="64" t="s">
        <v>59</v>
      </c>
      <c r="I168" s="102"/>
      <c r="J168" s="101">
        <f t="shared" ref="J168:S168" si="56">J162</f>
        <v>24000</v>
      </c>
      <c r="K168" s="101">
        <f t="shared" si="56"/>
        <v>17000</v>
      </c>
      <c r="L168" s="101">
        <f t="shared" si="56"/>
        <v>15000</v>
      </c>
      <c r="M168" s="101">
        <f t="shared" si="56"/>
        <v>14000</v>
      </c>
      <c r="N168" s="101">
        <f t="shared" si="56"/>
        <v>13500</v>
      </c>
      <c r="O168" s="101">
        <f t="shared" si="56"/>
        <v>13500</v>
      </c>
      <c r="P168" s="101">
        <f t="shared" si="56"/>
        <v>14000</v>
      </c>
      <c r="Q168" s="101">
        <f t="shared" si="56"/>
        <v>14500</v>
      </c>
      <c r="R168" s="101">
        <f t="shared" si="56"/>
        <v>15000</v>
      </c>
      <c r="S168" s="101">
        <f t="shared" si="56"/>
        <v>15500</v>
      </c>
    </row>
    <row r="169" spans="2:21">
      <c r="C169" s="64" t="s">
        <v>224</v>
      </c>
      <c r="I169" s="102"/>
      <c r="J169" s="101">
        <f t="shared" ref="J169:S169" si="57">-(J167+J168*$E$157)*$E$158</f>
        <v>-9200</v>
      </c>
      <c r="K169" s="101">
        <f t="shared" si="57"/>
        <v>-11460</v>
      </c>
      <c r="L169" s="101">
        <f t="shared" si="57"/>
        <v>-12368</v>
      </c>
      <c r="M169" s="101">
        <f t="shared" si="57"/>
        <v>-12794.400000000001</v>
      </c>
      <c r="N169" s="101">
        <f t="shared" si="57"/>
        <v>-12985.52</v>
      </c>
      <c r="O169" s="101">
        <f t="shared" si="57"/>
        <v>-13088.416000000001</v>
      </c>
      <c r="P169" s="101">
        <f t="shared" si="57"/>
        <v>-13220.732800000002</v>
      </c>
      <c r="Q169" s="101">
        <f t="shared" si="57"/>
        <v>-13426.586240000002</v>
      </c>
      <c r="R169" s="101">
        <f t="shared" si="57"/>
        <v>-13691.268992000001</v>
      </c>
      <c r="S169" s="101">
        <f t="shared" si="57"/>
        <v>-14003.015193600002</v>
      </c>
    </row>
    <row r="170" spans="2:21">
      <c r="C170" s="60" t="s">
        <v>222</v>
      </c>
      <c r="I170" s="106">
        <f>Inputs!$M$134</f>
        <v>34000</v>
      </c>
      <c r="J170" s="103">
        <f t="shared" ref="J170:S170" si="58">SUM(J167:J169)</f>
        <v>48800</v>
      </c>
      <c r="K170" s="103">
        <f t="shared" si="58"/>
        <v>54340</v>
      </c>
      <c r="L170" s="103">
        <f t="shared" si="58"/>
        <v>56972</v>
      </c>
      <c r="M170" s="103">
        <f t="shared" si="58"/>
        <v>58177.599999999999</v>
      </c>
      <c r="N170" s="103">
        <f t="shared" si="58"/>
        <v>58692.08</v>
      </c>
      <c r="O170" s="103">
        <f t="shared" si="58"/>
        <v>59103.664000000004</v>
      </c>
      <c r="P170" s="103">
        <f t="shared" si="58"/>
        <v>59882.931200000006</v>
      </c>
      <c r="Q170" s="103">
        <f t="shared" si="58"/>
        <v>60956.344960000002</v>
      </c>
      <c r="R170" s="103">
        <f t="shared" si="58"/>
        <v>62265.075968000005</v>
      </c>
      <c r="S170" s="103">
        <f t="shared" si="58"/>
        <v>63762.060774400001</v>
      </c>
    </row>
    <row r="171" spans="2:21"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</row>
    <row r="172" spans="2:21">
      <c r="C172" s="33" t="s">
        <v>225</v>
      </c>
    </row>
    <row r="174" spans="2:21" ht="20.25" customHeight="1">
      <c r="B174" s="58" t="s">
        <v>16</v>
      </c>
      <c r="C174" s="27" t="s">
        <v>226</v>
      </c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</row>
    <row r="176" spans="2:21">
      <c r="C176" s="33" t="s">
        <v>19</v>
      </c>
      <c r="I176" s="84">
        <v>2025</v>
      </c>
      <c r="J176" s="84">
        <f>Inputs!H$13</f>
        <v>2026</v>
      </c>
      <c r="K176" s="84">
        <f>Inputs!I$13</f>
        <v>2027</v>
      </c>
      <c r="L176" s="84">
        <f>Inputs!J$13</f>
        <v>2028</v>
      </c>
      <c r="M176" s="84">
        <f>Inputs!K$13</f>
        <v>2029</v>
      </c>
      <c r="N176" s="84">
        <f>Inputs!L$13</f>
        <v>2030</v>
      </c>
      <c r="O176" s="84">
        <f>Inputs!M$13</f>
        <v>2031</v>
      </c>
      <c r="P176" s="84">
        <f>Inputs!N$13</f>
        <v>2032</v>
      </c>
      <c r="Q176" s="84">
        <f>Inputs!O$13</f>
        <v>2033</v>
      </c>
      <c r="R176" s="84">
        <f>Inputs!P$13</f>
        <v>2034</v>
      </c>
      <c r="S176" s="84">
        <f>Inputs!Q$13</f>
        <v>2035</v>
      </c>
    </row>
    <row r="177" spans="3:20">
      <c r="C177" s="45" t="str">
        <f>IF(Inputs!$E$11=1,"Best Case Selected",IF(Inputs!$E$11=2,"Base Case Selected","Worst Case Selected"))</f>
        <v>Base Case Selected</v>
      </c>
    </row>
    <row r="179" spans="3:20">
      <c r="C179" s="60" t="s">
        <v>227</v>
      </c>
      <c r="J179" s="101">
        <f t="shared" ref="J179:S179" si="59">G79</f>
        <v>9973</v>
      </c>
      <c r="K179" s="101">
        <f t="shared" si="59"/>
        <v>9085</v>
      </c>
      <c r="L179" s="101">
        <f t="shared" si="59"/>
        <v>5840</v>
      </c>
      <c r="M179" s="101">
        <f t="shared" si="59"/>
        <v>6152.7328319999815</v>
      </c>
      <c r="N179" s="101">
        <f t="shared" si="59"/>
        <v>6554.3353129259995</v>
      </c>
      <c r="O179" s="101">
        <f t="shared" si="59"/>
        <v>17886.241632164565</v>
      </c>
      <c r="P179" s="101">
        <f t="shared" si="59"/>
        <v>23367.61074685456</v>
      </c>
      <c r="Q179" s="101">
        <f t="shared" si="59"/>
        <v>29555.365561951938</v>
      </c>
      <c r="R179" s="101">
        <f t="shared" si="59"/>
        <v>36056.364305600961</v>
      </c>
      <c r="S179" s="101">
        <f t="shared" si="59"/>
        <v>42450.508266841491</v>
      </c>
    </row>
    <row r="180" spans="3:20">
      <c r="C180" s="64" t="s">
        <v>228</v>
      </c>
      <c r="J180" s="114">
        <f t="shared" ref="J180:S180" si="60">IF(J189&gt;0,1,0)</f>
        <v>1</v>
      </c>
      <c r="K180" s="114">
        <f t="shared" si="60"/>
        <v>1</v>
      </c>
      <c r="L180" s="114">
        <f t="shared" si="60"/>
        <v>1</v>
      </c>
      <c r="M180" s="114">
        <f t="shared" si="60"/>
        <v>1</v>
      </c>
      <c r="N180" s="114">
        <f t="shared" si="60"/>
        <v>1</v>
      </c>
      <c r="O180" s="114">
        <f t="shared" si="60"/>
        <v>1</v>
      </c>
      <c r="P180" s="114">
        <f t="shared" si="60"/>
        <v>1</v>
      </c>
      <c r="Q180" s="114">
        <f t="shared" si="60"/>
        <v>1</v>
      </c>
      <c r="R180" s="114">
        <f t="shared" si="60"/>
        <v>1</v>
      </c>
      <c r="S180" s="114">
        <f t="shared" si="60"/>
        <v>1</v>
      </c>
    </row>
    <row r="182" spans="3:20">
      <c r="C182" s="64" t="s">
        <v>73</v>
      </c>
      <c r="E182" s="65">
        <f>$D$65</f>
        <v>0.22</v>
      </c>
    </row>
    <row r="183" spans="3:20">
      <c r="C183" s="64" t="s">
        <v>229</v>
      </c>
      <c r="E183" s="114">
        <f>IF(S200=0,0,1)</f>
        <v>0</v>
      </c>
    </row>
    <row r="185" spans="3:20">
      <c r="C185" s="45" t="s">
        <v>230</v>
      </c>
    </row>
    <row r="186" spans="3:20">
      <c r="C186" s="64" t="s">
        <v>227</v>
      </c>
      <c r="J186" s="101">
        <f t="shared" ref="J186:S186" si="61">J179</f>
        <v>9973</v>
      </c>
      <c r="K186" s="101">
        <f t="shared" si="61"/>
        <v>9085</v>
      </c>
      <c r="L186" s="101">
        <f t="shared" si="61"/>
        <v>5840</v>
      </c>
      <c r="M186" s="101">
        <f t="shared" si="61"/>
        <v>6152.7328319999815</v>
      </c>
      <c r="N186" s="101">
        <f t="shared" si="61"/>
        <v>6554.3353129259995</v>
      </c>
      <c r="O186" s="101">
        <f t="shared" si="61"/>
        <v>17886.241632164565</v>
      </c>
      <c r="P186" s="101">
        <f t="shared" si="61"/>
        <v>23367.61074685456</v>
      </c>
      <c r="Q186" s="101">
        <f t="shared" si="61"/>
        <v>29555.365561951938</v>
      </c>
      <c r="R186" s="101">
        <f t="shared" si="61"/>
        <v>36056.364305600961</v>
      </c>
      <c r="S186" s="101">
        <f t="shared" si="61"/>
        <v>42450.508266841491</v>
      </c>
      <c r="T186" s="95"/>
    </row>
    <row r="187" spans="3:20">
      <c r="C187" s="64" t="s">
        <v>231</v>
      </c>
      <c r="J187" s="101">
        <f t="shared" ref="J187:S187" si="62">-J$163</f>
        <v>6855.875</v>
      </c>
      <c r="K187" s="101">
        <f t="shared" si="62"/>
        <v>8905.875</v>
      </c>
      <c r="L187" s="101">
        <f t="shared" si="62"/>
        <v>10505.875</v>
      </c>
      <c r="M187" s="101">
        <f t="shared" si="62"/>
        <v>11955.875</v>
      </c>
      <c r="N187" s="101">
        <f t="shared" si="62"/>
        <v>13330.875</v>
      </c>
      <c r="O187" s="101">
        <f t="shared" si="62"/>
        <v>14680.875</v>
      </c>
      <c r="P187" s="101">
        <f t="shared" si="62"/>
        <v>16055.875</v>
      </c>
      <c r="Q187" s="101">
        <f t="shared" si="62"/>
        <v>17480.875</v>
      </c>
      <c r="R187" s="101">
        <f t="shared" si="62"/>
        <v>13300</v>
      </c>
      <c r="S187" s="101">
        <f t="shared" si="62"/>
        <v>14825</v>
      </c>
      <c r="T187" s="95"/>
    </row>
    <row r="188" spans="3:20">
      <c r="C188" s="64" t="s">
        <v>232</v>
      </c>
      <c r="J188" s="101">
        <f t="shared" ref="J188:S188" si="63">J$169</f>
        <v>-9200</v>
      </c>
      <c r="K188" s="101">
        <f t="shared" si="63"/>
        <v>-11460</v>
      </c>
      <c r="L188" s="101">
        <f t="shared" si="63"/>
        <v>-12368</v>
      </c>
      <c r="M188" s="101">
        <f t="shared" si="63"/>
        <v>-12794.400000000001</v>
      </c>
      <c r="N188" s="101">
        <f t="shared" si="63"/>
        <v>-12985.52</v>
      </c>
      <c r="O188" s="101">
        <f t="shared" si="63"/>
        <v>-13088.416000000001</v>
      </c>
      <c r="P188" s="101">
        <f t="shared" si="63"/>
        <v>-13220.732800000002</v>
      </c>
      <c r="Q188" s="101">
        <f t="shared" si="63"/>
        <v>-13426.586240000002</v>
      </c>
      <c r="R188" s="101">
        <f t="shared" si="63"/>
        <v>-13691.268992000001</v>
      </c>
      <c r="S188" s="101">
        <f t="shared" si="63"/>
        <v>-14003.015193600002</v>
      </c>
      <c r="T188" s="95"/>
    </row>
    <row r="189" spans="3:20">
      <c r="C189" s="60" t="s">
        <v>233</v>
      </c>
      <c r="J189" s="103">
        <f t="shared" ref="J189:S189" si="64">SUM(J186:J188)</f>
        <v>7628.875</v>
      </c>
      <c r="K189" s="103">
        <f t="shared" si="64"/>
        <v>6530.875</v>
      </c>
      <c r="L189" s="103">
        <f t="shared" si="64"/>
        <v>3977.875</v>
      </c>
      <c r="M189" s="103">
        <f t="shared" si="64"/>
        <v>5314.2078319999782</v>
      </c>
      <c r="N189" s="103">
        <f t="shared" si="64"/>
        <v>6899.690312925999</v>
      </c>
      <c r="O189" s="103">
        <f t="shared" si="64"/>
        <v>19478.700632164564</v>
      </c>
      <c r="P189" s="103">
        <f t="shared" si="64"/>
        <v>26202.752946854558</v>
      </c>
      <c r="Q189" s="103">
        <f t="shared" si="64"/>
        <v>33609.654321951937</v>
      </c>
      <c r="R189" s="103">
        <f t="shared" si="64"/>
        <v>35665.095313600963</v>
      </c>
      <c r="S189" s="103">
        <f t="shared" si="64"/>
        <v>43272.493073241487</v>
      </c>
      <c r="T189" s="95"/>
    </row>
    <row r="190" spans="3:20"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95"/>
    </row>
    <row r="191" spans="3:20">
      <c r="C191" s="45" t="s">
        <v>234</v>
      </c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95"/>
    </row>
    <row r="192" spans="3:20">
      <c r="C192" s="64" t="s">
        <v>233</v>
      </c>
      <c r="J192" s="101">
        <f t="shared" ref="J192:S192" si="65">J189</f>
        <v>7628.875</v>
      </c>
      <c r="K192" s="101">
        <f t="shared" si="65"/>
        <v>6530.875</v>
      </c>
      <c r="L192" s="101">
        <f t="shared" si="65"/>
        <v>3977.875</v>
      </c>
      <c r="M192" s="101">
        <f t="shared" si="65"/>
        <v>5314.2078319999782</v>
      </c>
      <c r="N192" s="101">
        <f t="shared" si="65"/>
        <v>6899.690312925999</v>
      </c>
      <c r="O192" s="101">
        <f t="shared" si="65"/>
        <v>19478.700632164564</v>
      </c>
      <c r="P192" s="101">
        <f t="shared" si="65"/>
        <v>26202.752946854558</v>
      </c>
      <c r="Q192" s="101">
        <f t="shared" si="65"/>
        <v>33609.654321951937</v>
      </c>
      <c r="R192" s="101">
        <f t="shared" si="65"/>
        <v>35665.095313600963</v>
      </c>
      <c r="S192" s="101">
        <f t="shared" si="65"/>
        <v>43272.493073241487</v>
      </c>
      <c r="T192" s="95"/>
    </row>
    <row r="193" spans="3:20">
      <c r="C193" s="64" t="s">
        <v>235</v>
      </c>
      <c r="J193" s="101">
        <f t="shared" ref="J193:S193" si="66">J199</f>
        <v>0</v>
      </c>
      <c r="K193" s="101">
        <f t="shared" si="66"/>
        <v>0</v>
      </c>
      <c r="L193" s="101">
        <f t="shared" si="66"/>
        <v>0</v>
      </c>
      <c r="M193" s="101">
        <f t="shared" si="66"/>
        <v>0</v>
      </c>
      <c r="N193" s="101">
        <f t="shared" si="66"/>
        <v>0</v>
      </c>
      <c r="O193" s="101">
        <f t="shared" si="66"/>
        <v>0</v>
      </c>
      <c r="P193" s="101">
        <f t="shared" si="66"/>
        <v>0</v>
      </c>
      <c r="Q193" s="101">
        <f t="shared" si="66"/>
        <v>0</v>
      </c>
      <c r="R193" s="101">
        <f t="shared" si="66"/>
        <v>0</v>
      </c>
      <c r="S193" s="101">
        <f t="shared" si="66"/>
        <v>0</v>
      </c>
      <c r="T193" s="95"/>
    </row>
    <row r="194" spans="3:20">
      <c r="C194" s="60" t="s">
        <v>236</v>
      </c>
      <c r="J194" s="103">
        <f t="shared" ref="J194:S194" si="67">MAX(SUM(J192:J193),0)</f>
        <v>7628.875</v>
      </c>
      <c r="K194" s="103">
        <f t="shared" si="67"/>
        <v>6530.875</v>
      </c>
      <c r="L194" s="103">
        <f t="shared" si="67"/>
        <v>3977.875</v>
      </c>
      <c r="M194" s="103">
        <f t="shared" si="67"/>
        <v>5314.2078319999782</v>
      </c>
      <c r="N194" s="103">
        <f t="shared" si="67"/>
        <v>6899.690312925999</v>
      </c>
      <c r="O194" s="103">
        <f t="shared" si="67"/>
        <v>19478.700632164564</v>
      </c>
      <c r="P194" s="103">
        <f t="shared" si="67"/>
        <v>26202.752946854558</v>
      </c>
      <c r="Q194" s="103">
        <f t="shared" si="67"/>
        <v>33609.654321951937</v>
      </c>
      <c r="R194" s="103">
        <f t="shared" si="67"/>
        <v>35665.095313600963</v>
      </c>
      <c r="S194" s="103">
        <f t="shared" si="67"/>
        <v>43272.493073241487</v>
      </c>
      <c r="T194" s="95"/>
    </row>
    <row r="195" spans="3:20"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</row>
    <row r="196" spans="3:20">
      <c r="C196" s="45" t="s">
        <v>237</v>
      </c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</row>
    <row r="197" spans="3:20">
      <c r="C197" s="64" t="s">
        <v>220</v>
      </c>
      <c r="J197" s="91">
        <f t="shared" ref="J197:S197" si="68">I200</f>
        <v>0</v>
      </c>
      <c r="K197" s="91">
        <f t="shared" si="68"/>
        <v>0</v>
      </c>
      <c r="L197" s="91">
        <f t="shared" si="68"/>
        <v>0</v>
      </c>
      <c r="M197" s="91">
        <f t="shared" si="68"/>
        <v>0</v>
      </c>
      <c r="N197" s="91">
        <f t="shared" si="68"/>
        <v>0</v>
      </c>
      <c r="O197" s="91">
        <f t="shared" si="68"/>
        <v>0</v>
      </c>
      <c r="P197" s="91">
        <f t="shared" si="68"/>
        <v>0</v>
      </c>
      <c r="Q197" s="91">
        <f t="shared" si="68"/>
        <v>0</v>
      </c>
      <c r="R197" s="91">
        <f t="shared" si="68"/>
        <v>0</v>
      </c>
      <c r="S197" s="91">
        <f t="shared" si="68"/>
        <v>0</v>
      </c>
      <c r="T197" s="95"/>
    </row>
    <row r="198" spans="3:20">
      <c r="C198" s="64" t="s">
        <v>238</v>
      </c>
      <c r="J198" s="91">
        <f t="shared" ref="J198:S198" si="69">-MIN(J186,0)</f>
        <v>0</v>
      </c>
      <c r="K198" s="91">
        <f t="shared" si="69"/>
        <v>0</v>
      </c>
      <c r="L198" s="91">
        <f t="shared" si="69"/>
        <v>0</v>
      </c>
      <c r="M198" s="91">
        <f t="shared" si="69"/>
        <v>0</v>
      </c>
      <c r="N198" s="91">
        <f t="shared" si="69"/>
        <v>0</v>
      </c>
      <c r="O198" s="91">
        <f t="shared" si="69"/>
        <v>0</v>
      </c>
      <c r="P198" s="91">
        <f t="shared" si="69"/>
        <v>0</v>
      </c>
      <c r="Q198" s="91">
        <f t="shared" si="69"/>
        <v>0</v>
      </c>
      <c r="R198" s="91">
        <f t="shared" si="69"/>
        <v>0</v>
      </c>
      <c r="S198" s="91">
        <f t="shared" si="69"/>
        <v>0</v>
      </c>
      <c r="T198" s="95"/>
    </row>
    <row r="199" spans="3:20">
      <c r="C199" s="64" t="s">
        <v>235</v>
      </c>
      <c r="J199" s="91">
        <f t="shared" ref="J199:S199" si="70">-MIN(J197,J192)*J180</f>
        <v>0</v>
      </c>
      <c r="K199" s="91">
        <f t="shared" si="70"/>
        <v>0</v>
      </c>
      <c r="L199" s="91">
        <f t="shared" si="70"/>
        <v>0</v>
      </c>
      <c r="M199" s="91">
        <f t="shared" si="70"/>
        <v>0</v>
      </c>
      <c r="N199" s="91">
        <f t="shared" si="70"/>
        <v>0</v>
      </c>
      <c r="O199" s="91">
        <f t="shared" si="70"/>
        <v>0</v>
      </c>
      <c r="P199" s="91">
        <f t="shared" si="70"/>
        <v>0</v>
      </c>
      <c r="Q199" s="91">
        <f t="shared" si="70"/>
        <v>0</v>
      </c>
      <c r="R199" s="91">
        <f t="shared" si="70"/>
        <v>0</v>
      </c>
      <c r="S199" s="91">
        <f t="shared" si="70"/>
        <v>0</v>
      </c>
      <c r="T199" s="95"/>
    </row>
    <row r="200" spans="3:20">
      <c r="C200" s="60" t="s">
        <v>222</v>
      </c>
      <c r="I200" s="68">
        <f>Inputs!$M$135</f>
        <v>0</v>
      </c>
      <c r="J200" s="94">
        <f t="shared" ref="J200:S200" si="71">SUM(J197:J199)</f>
        <v>0</v>
      </c>
      <c r="K200" s="94">
        <f t="shared" si="71"/>
        <v>0</v>
      </c>
      <c r="L200" s="94">
        <f t="shared" si="71"/>
        <v>0</v>
      </c>
      <c r="M200" s="94">
        <f t="shared" si="71"/>
        <v>0</v>
      </c>
      <c r="N200" s="94">
        <f t="shared" si="71"/>
        <v>0</v>
      </c>
      <c r="O200" s="94">
        <f t="shared" si="71"/>
        <v>0</v>
      </c>
      <c r="P200" s="94">
        <f t="shared" si="71"/>
        <v>0</v>
      </c>
      <c r="Q200" s="94">
        <f t="shared" si="71"/>
        <v>0</v>
      </c>
      <c r="R200" s="94">
        <f t="shared" si="71"/>
        <v>0</v>
      </c>
      <c r="S200" s="94">
        <f t="shared" si="71"/>
        <v>0</v>
      </c>
      <c r="T200" s="95"/>
    </row>
    <row r="201" spans="3:20"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</row>
    <row r="202" spans="3:20">
      <c r="C202" s="45" t="s">
        <v>239</v>
      </c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</row>
    <row r="203" spans="3:20">
      <c r="C203" s="64" t="s">
        <v>240</v>
      </c>
      <c r="J203" s="101">
        <f t="shared" ref="J203:S203" si="72">$E$182*J194</f>
        <v>1678.3525</v>
      </c>
      <c r="K203" s="101">
        <f t="shared" si="72"/>
        <v>1436.7925</v>
      </c>
      <c r="L203" s="101">
        <f t="shared" si="72"/>
        <v>875.13250000000005</v>
      </c>
      <c r="M203" s="101">
        <f t="shared" si="72"/>
        <v>1169.1257230399951</v>
      </c>
      <c r="N203" s="101">
        <f t="shared" si="72"/>
        <v>1517.9318688437197</v>
      </c>
      <c r="O203" s="101">
        <f t="shared" si="72"/>
        <v>4285.3141390762039</v>
      </c>
      <c r="P203" s="101">
        <f t="shared" si="72"/>
        <v>5764.6056483080029</v>
      </c>
      <c r="Q203" s="101">
        <f t="shared" si="72"/>
        <v>7394.1239508294266</v>
      </c>
      <c r="R203" s="101">
        <f t="shared" si="72"/>
        <v>7846.3209689922123</v>
      </c>
      <c r="S203" s="101">
        <f t="shared" si="72"/>
        <v>9519.948476113128</v>
      </c>
      <c r="T203" s="95"/>
    </row>
    <row r="204" spans="3:20">
      <c r="C204" s="64" t="s">
        <v>241</v>
      </c>
      <c r="J204" s="101">
        <f t="shared" ref="J204:S204" si="73">J205-J203</f>
        <v>515.70749999999998</v>
      </c>
      <c r="K204" s="101">
        <f t="shared" si="73"/>
        <v>561.90750000000003</v>
      </c>
      <c r="L204" s="101">
        <f t="shared" si="73"/>
        <v>409.6674999999999</v>
      </c>
      <c r="M204" s="101">
        <f t="shared" si="73"/>
        <v>184.47550000000069</v>
      </c>
      <c r="N204" s="101">
        <f t="shared" si="73"/>
        <v>-75.978099999999813</v>
      </c>
      <c r="O204" s="101">
        <f t="shared" si="73"/>
        <v>-350.34097999999949</v>
      </c>
      <c r="P204" s="101">
        <f t="shared" si="73"/>
        <v>-623.7312839999995</v>
      </c>
      <c r="Q204" s="101">
        <f t="shared" si="73"/>
        <v>-891.94352720000006</v>
      </c>
      <c r="R204" s="101">
        <f t="shared" si="73"/>
        <v>86.079178239999237</v>
      </c>
      <c r="S204" s="101">
        <f t="shared" si="73"/>
        <v>-180.83665740799916</v>
      </c>
      <c r="T204" s="95"/>
    </row>
    <row r="205" spans="3:20">
      <c r="C205" s="60" t="s">
        <v>242</v>
      </c>
      <c r="J205" s="103">
        <f t="shared" ref="J205:S205" si="74">MAX($E$182*J186,0)</f>
        <v>2194.06</v>
      </c>
      <c r="K205" s="103">
        <f t="shared" si="74"/>
        <v>1998.7</v>
      </c>
      <c r="L205" s="103">
        <f t="shared" si="74"/>
        <v>1284.8</v>
      </c>
      <c r="M205" s="103">
        <f t="shared" si="74"/>
        <v>1353.6012230399958</v>
      </c>
      <c r="N205" s="103">
        <f t="shared" si="74"/>
        <v>1441.9537688437199</v>
      </c>
      <c r="O205" s="103">
        <f t="shared" si="74"/>
        <v>3934.9731590762044</v>
      </c>
      <c r="P205" s="103">
        <f t="shared" si="74"/>
        <v>5140.8743643080034</v>
      </c>
      <c r="Q205" s="103">
        <f t="shared" si="74"/>
        <v>6502.1804236294265</v>
      </c>
      <c r="R205" s="103">
        <f t="shared" si="74"/>
        <v>7932.4001472322116</v>
      </c>
      <c r="S205" s="103">
        <f t="shared" si="74"/>
        <v>9339.1118187051288</v>
      </c>
      <c r="T205" s="95"/>
    </row>
    <row r="206" spans="3:20"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</row>
    <row r="207" spans="3:20">
      <c r="C207" s="33" t="s">
        <v>243</v>
      </c>
    </row>
    <row r="209" spans="2:21" ht="20.25" customHeight="1">
      <c r="B209" s="58" t="s">
        <v>16</v>
      </c>
      <c r="C209" s="27" t="s">
        <v>244</v>
      </c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</row>
    <row r="211" spans="2:21">
      <c r="C211" s="33" t="s">
        <v>19</v>
      </c>
      <c r="I211" s="84">
        <v>2025</v>
      </c>
      <c r="J211" s="84">
        <f>Inputs!H$13</f>
        <v>2026</v>
      </c>
      <c r="K211" s="84">
        <f>Inputs!I$13</f>
        <v>2027</v>
      </c>
      <c r="L211" s="84">
        <f>Inputs!J$13</f>
        <v>2028</v>
      </c>
      <c r="M211" s="84">
        <f>Inputs!K$13</f>
        <v>2029</v>
      </c>
      <c r="N211" s="84">
        <f>Inputs!L$13</f>
        <v>2030</v>
      </c>
      <c r="O211" s="84">
        <f>Inputs!M$13</f>
        <v>2031</v>
      </c>
      <c r="P211" s="84">
        <f>Inputs!N$13</f>
        <v>2032</v>
      </c>
      <c r="Q211" s="84">
        <f>Inputs!O$13</f>
        <v>2033</v>
      </c>
      <c r="R211" s="84">
        <f>Inputs!P$13</f>
        <v>2034</v>
      </c>
      <c r="S211" s="84">
        <f>Inputs!Q$13</f>
        <v>2035</v>
      </c>
    </row>
    <row r="212" spans="2:21">
      <c r="C212" s="45" t="str">
        <f>IF(Inputs!$E$11=1,"Best Case Selected",IF(Inputs!$E$11=2,"Base Case Selected","Worst Case Selected"))</f>
        <v>Base Case Selected</v>
      </c>
    </row>
    <row r="214" spans="2:21">
      <c r="C214" s="60" t="s">
        <v>245</v>
      </c>
      <c r="J214" s="101">
        <f t="shared" ref="J214:S214" si="75">G75</f>
        <v>8891</v>
      </c>
      <c r="K214" s="101">
        <f t="shared" si="75"/>
        <v>7171</v>
      </c>
      <c r="L214" s="101">
        <f t="shared" si="75"/>
        <v>4917</v>
      </c>
      <c r="M214" s="101">
        <f t="shared" si="75"/>
        <v>5327.7328319999815</v>
      </c>
      <c r="N214" s="101">
        <f t="shared" si="75"/>
        <v>6904.3353129259995</v>
      </c>
      <c r="O214" s="101">
        <f t="shared" si="75"/>
        <v>18236.241632164565</v>
      </c>
      <c r="P214" s="101">
        <f t="shared" si="75"/>
        <v>23717.61074685456</v>
      </c>
      <c r="Q214" s="101">
        <f t="shared" si="75"/>
        <v>29905.365561951938</v>
      </c>
      <c r="R214" s="101">
        <f t="shared" si="75"/>
        <v>36406.364305600961</v>
      </c>
      <c r="S214" s="101">
        <f t="shared" si="75"/>
        <v>42800.508266841491</v>
      </c>
    </row>
    <row r="215" spans="2:21">
      <c r="C215" s="64" t="s">
        <v>228</v>
      </c>
      <c r="J215" s="114">
        <f t="shared" ref="J215:S215" si="76">IF(J224&gt;0,1,0)</f>
        <v>1</v>
      </c>
      <c r="K215" s="114">
        <f t="shared" si="76"/>
        <v>1</v>
      </c>
      <c r="L215" s="114">
        <f t="shared" si="76"/>
        <v>1</v>
      </c>
      <c r="M215" s="114">
        <f t="shared" si="76"/>
        <v>1</v>
      </c>
      <c r="N215" s="114">
        <f t="shared" si="76"/>
        <v>1</v>
      </c>
      <c r="O215" s="114">
        <f t="shared" si="76"/>
        <v>1</v>
      </c>
      <c r="P215" s="114">
        <f t="shared" si="76"/>
        <v>1</v>
      </c>
      <c r="Q215" s="114">
        <f t="shared" si="76"/>
        <v>1</v>
      </c>
      <c r="R215" s="114">
        <f t="shared" si="76"/>
        <v>1</v>
      </c>
      <c r="S215" s="114">
        <f t="shared" si="76"/>
        <v>1</v>
      </c>
    </row>
    <row r="216" spans="2:21">
      <c r="J216" s="95"/>
      <c r="K216" s="95"/>
      <c r="L216" s="95"/>
      <c r="M216" s="95"/>
      <c r="N216" s="95"/>
      <c r="O216" s="95"/>
      <c r="P216" s="95"/>
      <c r="Q216" s="95"/>
      <c r="R216" s="95"/>
      <c r="S216" s="95"/>
    </row>
    <row r="217" spans="2:21">
      <c r="C217" s="64" t="s">
        <v>73</v>
      </c>
      <c r="E217" s="65">
        <f>$D$65</f>
        <v>0.22</v>
      </c>
      <c r="J217" s="95"/>
      <c r="K217" s="95"/>
      <c r="L217" s="95"/>
      <c r="M217" s="95"/>
      <c r="N217" s="95"/>
      <c r="O217" s="95"/>
      <c r="P217" s="95"/>
      <c r="Q217" s="95"/>
      <c r="R217" s="95"/>
      <c r="S217" s="95"/>
    </row>
    <row r="218" spans="2:21">
      <c r="C218" s="64" t="s">
        <v>229</v>
      </c>
      <c r="E218" s="114">
        <f>IF(S235=0,0,1)</f>
        <v>0</v>
      </c>
      <c r="J218" s="95"/>
      <c r="K218" s="95"/>
      <c r="L218" s="95"/>
      <c r="M218" s="95"/>
      <c r="N218" s="95"/>
      <c r="O218" s="95"/>
      <c r="P218" s="95"/>
      <c r="Q218" s="95"/>
      <c r="R218" s="95"/>
      <c r="S218" s="95"/>
    </row>
    <row r="219" spans="2:21">
      <c r="J219" s="95"/>
      <c r="K219" s="95"/>
      <c r="L219" s="95"/>
      <c r="M219" s="95"/>
      <c r="N219" s="95"/>
      <c r="O219" s="95"/>
      <c r="P219" s="95"/>
      <c r="Q219" s="95"/>
      <c r="R219" s="95"/>
      <c r="S219" s="95"/>
    </row>
    <row r="220" spans="2:21">
      <c r="C220" s="45" t="s">
        <v>230</v>
      </c>
      <c r="J220" s="95"/>
      <c r="K220" s="95"/>
      <c r="L220" s="95"/>
      <c r="M220" s="95"/>
      <c r="N220" s="95"/>
      <c r="O220" s="95"/>
      <c r="P220" s="95"/>
      <c r="Q220" s="95"/>
      <c r="R220" s="95"/>
      <c r="S220" s="95"/>
    </row>
    <row r="221" spans="2:21">
      <c r="C221" s="64" t="s">
        <v>245</v>
      </c>
      <c r="J221" s="101">
        <f t="shared" ref="J221:S221" si="77">J214</f>
        <v>8891</v>
      </c>
      <c r="K221" s="101">
        <f t="shared" si="77"/>
        <v>7171</v>
      </c>
      <c r="L221" s="101">
        <f t="shared" si="77"/>
        <v>4917</v>
      </c>
      <c r="M221" s="101">
        <f t="shared" si="77"/>
        <v>5327.7328319999815</v>
      </c>
      <c r="N221" s="101">
        <f t="shared" si="77"/>
        <v>6904.3353129259995</v>
      </c>
      <c r="O221" s="101">
        <f t="shared" si="77"/>
        <v>18236.241632164565</v>
      </c>
      <c r="P221" s="101">
        <f t="shared" si="77"/>
        <v>23717.61074685456</v>
      </c>
      <c r="Q221" s="101">
        <f t="shared" si="77"/>
        <v>29905.365561951938</v>
      </c>
      <c r="R221" s="101">
        <f t="shared" si="77"/>
        <v>36406.364305600961</v>
      </c>
      <c r="S221" s="101">
        <f t="shared" si="77"/>
        <v>42800.508266841491</v>
      </c>
    </row>
    <row r="222" spans="2:21">
      <c r="C222" s="64" t="s">
        <v>231</v>
      </c>
      <c r="J222" s="101">
        <f t="shared" ref="J222:S222" si="78">-J$163</f>
        <v>6855.875</v>
      </c>
      <c r="K222" s="101">
        <f t="shared" si="78"/>
        <v>8905.875</v>
      </c>
      <c r="L222" s="101">
        <f t="shared" si="78"/>
        <v>10505.875</v>
      </c>
      <c r="M222" s="101">
        <f t="shared" si="78"/>
        <v>11955.875</v>
      </c>
      <c r="N222" s="101">
        <f t="shared" si="78"/>
        <v>13330.875</v>
      </c>
      <c r="O222" s="101">
        <f t="shared" si="78"/>
        <v>14680.875</v>
      </c>
      <c r="P222" s="101">
        <f t="shared" si="78"/>
        <v>16055.875</v>
      </c>
      <c r="Q222" s="101">
        <f t="shared" si="78"/>
        <v>17480.875</v>
      </c>
      <c r="R222" s="101">
        <f t="shared" si="78"/>
        <v>13300</v>
      </c>
      <c r="S222" s="101">
        <f t="shared" si="78"/>
        <v>14825</v>
      </c>
    </row>
    <row r="223" spans="2:21">
      <c r="C223" s="64" t="s">
        <v>232</v>
      </c>
      <c r="J223" s="101">
        <f t="shared" ref="J223:S223" si="79">J$169</f>
        <v>-9200</v>
      </c>
      <c r="K223" s="101">
        <f t="shared" si="79"/>
        <v>-11460</v>
      </c>
      <c r="L223" s="101">
        <f t="shared" si="79"/>
        <v>-12368</v>
      </c>
      <c r="M223" s="101">
        <f t="shared" si="79"/>
        <v>-12794.400000000001</v>
      </c>
      <c r="N223" s="101">
        <f t="shared" si="79"/>
        <v>-12985.52</v>
      </c>
      <c r="O223" s="101">
        <f t="shared" si="79"/>
        <v>-13088.416000000001</v>
      </c>
      <c r="P223" s="101">
        <f t="shared" si="79"/>
        <v>-13220.732800000002</v>
      </c>
      <c r="Q223" s="101">
        <f t="shared" si="79"/>
        <v>-13426.586240000002</v>
      </c>
      <c r="R223" s="101">
        <f t="shared" si="79"/>
        <v>-13691.268992000001</v>
      </c>
      <c r="S223" s="101">
        <f t="shared" si="79"/>
        <v>-14003.015193600002</v>
      </c>
    </row>
    <row r="224" spans="2:21">
      <c r="C224" s="60" t="s">
        <v>233</v>
      </c>
      <c r="J224" s="103">
        <f t="shared" ref="J224:S224" si="80">SUM(J221:J223)</f>
        <v>6546.875</v>
      </c>
      <c r="K224" s="103">
        <f t="shared" si="80"/>
        <v>4616.875</v>
      </c>
      <c r="L224" s="103">
        <f t="shared" si="80"/>
        <v>3054.875</v>
      </c>
      <c r="M224" s="103">
        <f t="shared" si="80"/>
        <v>4489.2078319999782</v>
      </c>
      <c r="N224" s="103">
        <f t="shared" si="80"/>
        <v>7249.690312925999</v>
      </c>
      <c r="O224" s="103">
        <f t="shared" si="80"/>
        <v>19828.700632164564</v>
      </c>
      <c r="P224" s="103">
        <f t="shared" si="80"/>
        <v>26552.752946854558</v>
      </c>
      <c r="Q224" s="103">
        <f t="shared" si="80"/>
        <v>33959.654321951937</v>
      </c>
      <c r="R224" s="103">
        <f t="shared" si="80"/>
        <v>36015.095313600963</v>
      </c>
      <c r="S224" s="103">
        <f t="shared" si="80"/>
        <v>43622.493073241487</v>
      </c>
    </row>
    <row r="225" spans="3:19"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</row>
    <row r="226" spans="3:19">
      <c r="C226" s="45" t="s">
        <v>234</v>
      </c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</row>
    <row r="227" spans="3:19">
      <c r="C227" s="64" t="s">
        <v>233</v>
      </c>
      <c r="J227" s="101">
        <f t="shared" ref="J227:S227" si="81">J224</f>
        <v>6546.875</v>
      </c>
      <c r="K227" s="101">
        <f t="shared" si="81"/>
        <v>4616.875</v>
      </c>
      <c r="L227" s="101">
        <f t="shared" si="81"/>
        <v>3054.875</v>
      </c>
      <c r="M227" s="101">
        <f t="shared" si="81"/>
        <v>4489.2078319999782</v>
      </c>
      <c r="N227" s="101">
        <f t="shared" si="81"/>
        <v>7249.690312925999</v>
      </c>
      <c r="O227" s="101">
        <f t="shared" si="81"/>
        <v>19828.700632164564</v>
      </c>
      <c r="P227" s="101">
        <f t="shared" si="81"/>
        <v>26552.752946854558</v>
      </c>
      <c r="Q227" s="101">
        <f t="shared" si="81"/>
        <v>33959.654321951937</v>
      </c>
      <c r="R227" s="101">
        <f t="shared" si="81"/>
        <v>36015.095313600963</v>
      </c>
      <c r="S227" s="101">
        <f t="shared" si="81"/>
        <v>43622.493073241487</v>
      </c>
    </row>
    <row r="228" spans="3:19">
      <c r="C228" s="64" t="s">
        <v>235</v>
      </c>
      <c r="J228" s="101">
        <f t="shared" ref="J228:S228" si="82">J234</f>
        <v>0</v>
      </c>
      <c r="K228" s="101">
        <f t="shared" si="82"/>
        <v>0</v>
      </c>
      <c r="L228" s="101">
        <f t="shared" si="82"/>
        <v>0</v>
      </c>
      <c r="M228" s="101">
        <f t="shared" si="82"/>
        <v>0</v>
      </c>
      <c r="N228" s="101">
        <f t="shared" si="82"/>
        <v>0</v>
      </c>
      <c r="O228" s="101">
        <f t="shared" si="82"/>
        <v>0</v>
      </c>
      <c r="P228" s="101">
        <f t="shared" si="82"/>
        <v>0</v>
      </c>
      <c r="Q228" s="101">
        <f t="shared" si="82"/>
        <v>0</v>
      </c>
      <c r="R228" s="101">
        <f t="shared" si="82"/>
        <v>0</v>
      </c>
      <c r="S228" s="101">
        <f t="shared" si="82"/>
        <v>0</v>
      </c>
    </row>
    <row r="229" spans="3:19">
      <c r="C229" s="60" t="s">
        <v>236</v>
      </c>
      <c r="J229" s="103">
        <f t="shared" ref="J229:S229" si="83">MAX(SUM(J227:J228),0)</f>
        <v>6546.875</v>
      </c>
      <c r="K229" s="103">
        <f t="shared" si="83"/>
        <v>4616.875</v>
      </c>
      <c r="L229" s="103">
        <f t="shared" si="83"/>
        <v>3054.875</v>
      </c>
      <c r="M229" s="103">
        <f t="shared" si="83"/>
        <v>4489.2078319999782</v>
      </c>
      <c r="N229" s="103">
        <f t="shared" si="83"/>
        <v>7249.690312925999</v>
      </c>
      <c r="O229" s="103">
        <f t="shared" si="83"/>
        <v>19828.700632164564</v>
      </c>
      <c r="P229" s="103">
        <f t="shared" si="83"/>
        <v>26552.752946854558</v>
      </c>
      <c r="Q229" s="103">
        <f t="shared" si="83"/>
        <v>33959.654321951937</v>
      </c>
      <c r="R229" s="103">
        <f t="shared" si="83"/>
        <v>36015.095313600963</v>
      </c>
      <c r="S229" s="103">
        <f t="shared" si="83"/>
        <v>43622.493073241487</v>
      </c>
    </row>
    <row r="230" spans="3:19"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</row>
    <row r="231" spans="3:19">
      <c r="C231" s="45" t="s">
        <v>237</v>
      </c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</row>
    <row r="232" spans="3:19">
      <c r="C232" s="64" t="s">
        <v>220</v>
      </c>
      <c r="J232" s="101">
        <f t="shared" ref="J232:S232" si="84">I235</f>
        <v>0</v>
      </c>
      <c r="K232" s="101">
        <f t="shared" si="84"/>
        <v>0</v>
      </c>
      <c r="L232" s="101">
        <f t="shared" si="84"/>
        <v>0</v>
      </c>
      <c r="M232" s="101">
        <f t="shared" si="84"/>
        <v>0</v>
      </c>
      <c r="N232" s="101">
        <f t="shared" si="84"/>
        <v>0</v>
      </c>
      <c r="O232" s="101">
        <f t="shared" si="84"/>
        <v>0</v>
      </c>
      <c r="P232" s="101">
        <f t="shared" si="84"/>
        <v>0</v>
      </c>
      <c r="Q232" s="101">
        <f t="shared" si="84"/>
        <v>0</v>
      </c>
      <c r="R232" s="101">
        <f t="shared" si="84"/>
        <v>0</v>
      </c>
      <c r="S232" s="101">
        <f t="shared" si="84"/>
        <v>0</v>
      </c>
    </row>
    <row r="233" spans="3:19">
      <c r="C233" s="64" t="s">
        <v>238</v>
      </c>
      <c r="J233" s="101">
        <f t="shared" ref="J233:S233" si="85">-MIN(J221,0)</f>
        <v>0</v>
      </c>
      <c r="K233" s="101">
        <f t="shared" si="85"/>
        <v>0</v>
      </c>
      <c r="L233" s="101">
        <f t="shared" si="85"/>
        <v>0</v>
      </c>
      <c r="M233" s="101">
        <f t="shared" si="85"/>
        <v>0</v>
      </c>
      <c r="N233" s="101">
        <f t="shared" si="85"/>
        <v>0</v>
      </c>
      <c r="O233" s="101">
        <f t="shared" si="85"/>
        <v>0</v>
      </c>
      <c r="P233" s="101">
        <f t="shared" si="85"/>
        <v>0</v>
      </c>
      <c r="Q233" s="101">
        <f t="shared" si="85"/>
        <v>0</v>
      </c>
      <c r="R233" s="101">
        <f t="shared" si="85"/>
        <v>0</v>
      </c>
      <c r="S233" s="101">
        <f t="shared" si="85"/>
        <v>0</v>
      </c>
    </row>
    <row r="234" spans="3:19">
      <c r="C234" s="64" t="s">
        <v>235</v>
      </c>
      <c r="J234" s="101">
        <f t="shared" ref="J234:S234" si="86">-MIN(J232,J227)*J215</f>
        <v>0</v>
      </c>
      <c r="K234" s="101">
        <f t="shared" si="86"/>
        <v>0</v>
      </c>
      <c r="L234" s="101">
        <f t="shared" si="86"/>
        <v>0</v>
      </c>
      <c r="M234" s="101">
        <f t="shared" si="86"/>
        <v>0</v>
      </c>
      <c r="N234" s="101">
        <f t="shared" si="86"/>
        <v>0</v>
      </c>
      <c r="O234" s="101">
        <f t="shared" si="86"/>
        <v>0</v>
      </c>
      <c r="P234" s="101">
        <f t="shared" si="86"/>
        <v>0</v>
      </c>
      <c r="Q234" s="101">
        <f t="shared" si="86"/>
        <v>0</v>
      </c>
      <c r="R234" s="101">
        <f t="shared" si="86"/>
        <v>0</v>
      </c>
      <c r="S234" s="101">
        <f t="shared" si="86"/>
        <v>0</v>
      </c>
    </row>
    <row r="235" spans="3:19">
      <c r="C235" s="60" t="s">
        <v>222</v>
      </c>
      <c r="I235" s="68">
        <f>$I$200</f>
        <v>0</v>
      </c>
      <c r="J235" s="103">
        <f t="shared" ref="J235:S235" si="87">SUM(J232:J234)</f>
        <v>0</v>
      </c>
      <c r="K235" s="103">
        <f t="shared" si="87"/>
        <v>0</v>
      </c>
      <c r="L235" s="103">
        <f t="shared" si="87"/>
        <v>0</v>
      </c>
      <c r="M235" s="103">
        <f t="shared" si="87"/>
        <v>0</v>
      </c>
      <c r="N235" s="103">
        <f t="shared" si="87"/>
        <v>0</v>
      </c>
      <c r="O235" s="103">
        <f t="shared" si="87"/>
        <v>0</v>
      </c>
      <c r="P235" s="103">
        <f t="shared" si="87"/>
        <v>0</v>
      </c>
      <c r="Q235" s="103">
        <f t="shared" si="87"/>
        <v>0</v>
      </c>
      <c r="R235" s="103">
        <f t="shared" si="87"/>
        <v>0</v>
      </c>
      <c r="S235" s="103">
        <f t="shared" si="87"/>
        <v>0</v>
      </c>
    </row>
    <row r="236" spans="3:19"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</row>
    <row r="237" spans="3:19">
      <c r="C237" s="45" t="s">
        <v>239</v>
      </c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</row>
    <row r="238" spans="3:19">
      <c r="C238" s="64" t="s">
        <v>240</v>
      </c>
      <c r="J238" s="101">
        <f t="shared" ref="J238:S238" si="88">$E$217*J229</f>
        <v>1440.3125</v>
      </c>
      <c r="K238" s="101">
        <f t="shared" si="88"/>
        <v>1015.7125</v>
      </c>
      <c r="L238" s="101">
        <f t="shared" si="88"/>
        <v>672.07249999999999</v>
      </c>
      <c r="M238" s="101">
        <f t="shared" si="88"/>
        <v>987.62572303999525</v>
      </c>
      <c r="N238" s="101">
        <f t="shared" si="88"/>
        <v>1594.9318688437197</v>
      </c>
      <c r="O238" s="101">
        <f t="shared" si="88"/>
        <v>4362.3141390762039</v>
      </c>
      <c r="P238" s="101">
        <f t="shared" si="88"/>
        <v>5841.6056483080029</v>
      </c>
      <c r="Q238" s="101">
        <f t="shared" si="88"/>
        <v>7471.1239508294266</v>
      </c>
      <c r="R238" s="101">
        <f t="shared" si="88"/>
        <v>7923.3209689922123</v>
      </c>
      <c r="S238" s="101">
        <f t="shared" si="88"/>
        <v>9596.948476113128</v>
      </c>
    </row>
    <row r="239" spans="3:19">
      <c r="C239" s="64" t="s">
        <v>241</v>
      </c>
      <c r="J239" s="101">
        <f t="shared" ref="J239:S239" si="89">J240-J238</f>
        <v>515.70749999999998</v>
      </c>
      <c r="K239" s="101">
        <f t="shared" si="89"/>
        <v>561.90750000000014</v>
      </c>
      <c r="L239" s="101">
        <f t="shared" si="89"/>
        <v>409.66750000000002</v>
      </c>
      <c r="M239" s="101">
        <f t="shared" si="89"/>
        <v>184.47550000000058</v>
      </c>
      <c r="N239" s="101">
        <f t="shared" si="89"/>
        <v>-75.978099999999813</v>
      </c>
      <c r="O239" s="101">
        <f t="shared" si="89"/>
        <v>-350.34097999999949</v>
      </c>
      <c r="P239" s="101">
        <f t="shared" si="89"/>
        <v>-623.7312839999995</v>
      </c>
      <c r="Q239" s="101">
        <f t="shared" si="89"/>
        <v>-891.94352720000006</v>
      </c>
      <c r="R239" s="101">
        <f t="shared" si="89"/>
        <v>86.079178239999237</v>
      </c>
      <c r="S239" s="101">
        <f t="shared" si="89"/>
        <v>-180.83665740799916</v>
      </c>
    </row>
    <row r="240" spans="3:19">
      <c r="C240" s="60" t="s">
        <v>242</v>
      </c>
      <c r="J240" s="103">
        <f t="shared" ref="J240:S240" si="90">MAX($E$217*J221,0)</f>
        <v>1956.02</v>
      </c>
      <c r="K240" s="103">
        <f t="shared" si="90"/>
        <v>1577.6200000000001</v>
      </c>
      <c r="L240" s="103">
        <f t="shared" si="90"/>
        <v>1081.74</v>
      </c>
      <c r="M240" s="103">
        <f t="shared" si="90"/>
        <v>1172.1012230399958</v>
      </c>
      <c r="N240" s="103">
        <f t="shared" si="90"/>
        <v>1518.9537688437199</v>
      </c>
      <c r="O240" s="103">
        <f t="shared" si="90"/>
        <v>4011.9731590762044</v>
      </c>
      <c r="P240" s="103">
        <f t="shared" si="90"/>
        <v>5217.8743643080034</v>
      </c>
      <c r="Q240" s="103">
        <f t="shared" si="90"/>
        <v>6579.1804236294265</v>
      </c>
      <c r="R240" s="103">
        <f t="shared" si="90"/>
        <v>8009.4001472322116</v>
      </c>
      <c r="S240" s="103">
        <f t="shared" si="90"/>
        <v>9416.1118187051288</v>
      </c>
    </row>
    <row r="241" spans="2:21">
      <c r="J241" s="95"/>
      <c r="K241" s="95"/>
      <c r="L241" s="95"/>
      <c r="M241" s="95"/>
      <c r="N241" s="95"/>
      <c r="O241" s="95"/>
      <c r="P241" s="95"/>
      <c r="Q241" s="95"/>
      <c r="R241" s="95"/>
      <c r="S241" s="95"/>
    </row>
    <row r="242" spans="2:21">
      <c r="C242" s="33" t="s">
        <v>243</v>
      </c>
      <c r="J242" s="95"/>
      <c r="K242" s="95"/>
      <c r="L242" s="95"/>
      <c r="M242" s="95"/>
      <c r="N242" s="95"/>
      <c r="O242" s="95"/>
      <c r="P242" s="95"/>
      <c r="Q242" s="95"/>
      <c r="R242" s="95"/>
      <c r="S242" s="95"/>
    </row>
    <row r="244" spans="2:21" ht="20.25" customHeight="1">
      <c r="B244" s="58" t="s">
        <v>16</v>
      </c>
      <c r="C244" s="27" t="s">
        <v>246</v>
      </c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</row>
    <row r="246" spans="2:21">
      <c r="C246" s="33" t="s">
        <v>19</v>
      </c>
      <c r="J246" s="84">
        <f>Inputs!H$13</f>
        <v>2026</v>
      </c>
      <c r="K246" s="84">
        <f>Inputs!I$13</f>
        <v>2027</v>
      </c>
      <c r="L246" s="84">
        <f>Inputs!J$13</f>
        <v>2028</v>
      </c>
      <c r="M246" s="84">
        <f>Inputs!K$13</f>
        <v>2029</v>
      </c>
      <c r="N246" s="84">
        <f>Inputs!L$13</f>
        <v>2030</v>
      </c>
      <c r="O246" s="84">
        <f>Inputs!M$13</f>
        <v>2031</v>
      </c>
      <c r="P246" s="84">
        <f>Inputs!N$13</f>
        <v>2032</v>
      </c>
      <c r="Q246" s="84">
        <f>Inputs!O$13</f>
        <v>2033</v>
      </c>
      <c r="R246" s="84">
        <f>Inputs!P$13</f>
        <v>2034</v>
      </c>
      <c r="S246" s="84">
        <f>Inputs!Q$13</f>
        <v>2035</v>
      </c>
      <c r="T246" s="84" t="s">
        <v>47</v>
      </c>
    </row>
    <row r="247" spans="2:21">
      <c r="C247" s="45" t="str">
        <f>IF(Inputs!$E$11=1,"Best Case Selected",IF(Inputs!$E$11=2,"Base Case Selected","Worst Case Selected"))</f>
        <v>Base Case Selected</v>
      </c>
    </row>
    <row r="249" spans="2:21">
      <c r="C249" s="45" t="s">
        <v>247</v>
      </c>
      <c r="G249" s="33" t="s">
        <v>248</v>
      </c>
      <c r="H249" s="33" t="s">
        <v>47</v>
      </c>
    </row>
    <row r="250" spans="2:21">
      <c r="C250" s="64" t="s">
        <v>249</v>
      </c>
      <c r="G250" s="64" t="s">
        <v>186</v>
      </c>
      <c r="H250" s="91">
        <f>T75</f>
        <v>59747.117612203787</v>
      </c>
      <c r="I250" s="95"/>
      <c r="J250" s="101">
        <f t="shared" ref="J250:S250" si="91">J238</f>
        <v>1440.3125</v>
      </c>
      <c r="K250" s="101">
        <f t="shared" si="91"/>
        <v>1015.7125</v>
      </c>
      <c r="L250" s="101">
        <f t="shared" si="91"/>
        <v>672.07249999999999</v>
      </c>
      <c r="M250" s="101">
        <f t="shared" si="91"/>
        <v>987.62572303999525</v>
      </c>
      <c r="N250" s="101">
        <f t="shared" si="91"/>
        <v>1594.9318688437197</v>
      </c>
      <c r="O250" s="101">
        <f t="shared" si="91"/>
        <v>4362.3141390762039</v>
      </c>
      <c r="P250" s="101">
        <f t="shared" si="91"/>
        <v>5841.6056483080029</v>
      </c>
      <c r="Q250" s="101">
        <f t="shared" si="91"/>
        <v>7471.1239508294266</v>
      </c>
      <c r="R250" s="101">
        <f t="shared" si="91"/>
        <v>7923.3209689922123</v>
      </c>
      <c r="S250" s="101">
        <f t="shared" si="91"/>
        <v>9596.948476113128</v>
      </c>
      <c r="T250" s="101">
        <f>$H$250*$H$252</f>
        <v>13144.365874684832</v>
      </c>
    </row>
    <row r="251" spans="2:21">
      <c r="C251" s="64" t="s">
        <v>250</v>
      </c>
      <c r="G251" s="64" t="s">
        <v>190</v>
      </c>
      <c r="H251" s="91">
        <f>$T$79</f>
        <v>59397.117612203787</v>
      </c>
      <c r="I251" s="95"/>
      <c r="J251" s="101">
        <f t="shared" ref="J251:S251" si="92">J203</f>
        <v>1678.3525</v>
      </c>
      <c r="K251" s="101">
        <f t="shared" si="92"/>
        <v>1436.7925</v>
      </c>
      <c r="L251" s="101">
        <f t="shared" si="92"/>
        <v>875.13250000000005</v>
      </c>
      <c r="M251" s="101">
        <f t="shared" si="92"/>
        <v>1169.1257230399951</v>
      </c>
      <c r="N251" s="101">
        <f t="shared" si="92"/>
        <v>1517.9318688437197</v>
      </c>
      <c r="O251" s="101">
        <f t="shared" si="92"/>
        <v>4285.3141390762039</v>
      </c>
      <c r="P251" s="101">
        <f t="shared" si="92"/>
        <v>5764.6056483080029</v>
      </c>
      <c r="Q251" s="101">
        <f t="shared" si="92"/>
        <v>7394.1239508294266</v>
      </c>
      <c r="R251" s="101">
        <f t="shared" si="92"/>
        <v>7846.3209689922123</v>
      </c>
      <c r="S251" s="101">
        <f t="shared" si="92"/>
        <v>9519.948476113128</v>
      </c>
      <c r="T251" s="101">
        <f>$H$251*$H$252</f>
        <v>13067.365874684832</v>
      </c>
    </row>
    <row r="252" spans="2:21">
      <c r="C252" s="60" t="s">
        <v>251</v>
      </c>
      <c r="G252" s="64" t="s">
        <v>73</v>
      </c>
      <c r="H252" s="72">
        <f>$D$65</f>
        <v>0.22</v>
      </c>
      <c r="J252" s="103">
        <f t="shared" ref="J252:T252" si="93">J250-J251</f>
        <v>-238.03999999999996</v>
      </c>
      <c r="K252" s="103">
        <f t="shared" si="93"/>
        <v>-421.08000000000004</v>
      </c>
      <c r="L252" s="103">
        <f t="shared" si="93"/>
        <v>-203.06000000000006</v>
      </c>
      <c r="M252" s="103">
        <f t="shared" si="93"/>
        <v>-181.49999999999989</v>
      </c>
      <c r="N252" s="103">
        <f t="shared" si="93"/>
        <v>77</v>
      </c>
      <c r="O252" s="103">
        <f t="shared" si="93"/>
        <v>77</v>
      </c>
      <c r="P252" s="103">
        <f t="shared" si="93"/>
        <v>77</v>
      </c>
      <c r="Q252" s="103">
        <f t="shared" si="93"/>
        <v>77</v>
      </c>
      <c r="R252" s="103">
        <f t="shared" si="93"/>
        <v>77</v>
      </c>
      <c r="S252" s="103">
        <f t="shared" si="93"/>
        <v>77</v>
      </c>
      <c r="T252" s="103">
        <f t="shared" si="93"/>
        <v>77</v>
      </c>
    </row>
    <row r="253" spans="2:21"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</row>
    <row r="254" spans="2:21"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</row>
    <row r="255" spans="2:21">
      <c r="C255" s="45" t="s">
        <v>252</v>
      </c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</row>
    <row r="256" spans="2:21">
      <c r="C256" s="64" t="s">
        <v>253</v>
      </c>
      <c r="J256" s="101">
        <f t="shared" ref="J256:T256" si="94">J75+J67</f>
        <v>12183.607831999981</v>
      </c>
      <c r="K256" s="101">
        <f t="shared" si="94"/>
        <v>15810.210312925999</v>
      </c>
      <c r="L256" s="101">
        <f t="shared" si="94"/>
        <v>28742.116632164565</v>
      </c>
      <c r="M256" s="101">
        <f t="shared" si="94"/>
        <v>35673.48574685456</v>
      </c>
      <c r="N256" s="101">
        <f t="shared" si="94"/>
        <v>43236.240561951941</v>
      </c>
      <c r="O256" s="101">
        <f t="shared" si="94"/>
        <v>51087.239305600961</v>
      </c>
      <c r="P256" s="101">
        <f t="shared" si="94"/>
        <v>58856.383266841491</v>
      </c>
      <c r="Q256" s="101">
        <f t="shared" si="94"/>
        <v>65507.854131419175</v>
      </c>
      <c r="R256" s="101">
        <f t="shared" si="94"/>
        <v>66708.166446834817</v>
      </c>
      <c r="S256" s="101">
        <f t="shared" si="94"/>
        <v>71785.923741977342</v>
      </c>
      <c r="T256" s="101">
        <f t="shared" si="94"/>
        <v>75016.867612203787</v>
      </c>
      <c r="U256" s="95"/>
    </row>
    <row r="257" spans="3:21">
      <c r="C257" s="64" t="s">
        <v>240</v>
      </c>
      <c r="J257" s="101">
        <f t="shared" ref="J257:T257" si="95">-J250</f>
        <v>-1440.3125</v>
      </c>
      <c r="K257" s="101">
        <f t="shared" si="95"/>
        <v>-1015.7125</v>
      </c>
      <c r="L257" s="101">
        <f t="shared" si="95"/>
        <v>-672.07249999999999</v>
      </c>
      <c r="M257" s="101">
        <f t="shared" si="95"/>
        <v>-987.62572303999525</v>
      </c>
      <c r="N257" s="101">
        <f t="shared" si="95"/>
        <v>-1594.9318688437197</v>
      </c>
      <c r="O257" s="101">
        <f t="shared" si="95"/>
        <v>-4362.3141390762039</v>
      </c>
      <c r="P257" s="101">
        <f t="shared" si="95"/>
        <v>-5841.6056483080029</v>
      </c>
      <c r="Q257" s="101">
        <f t="shared" si="95"/>
        <v>-7471.1239508294266</v>
      </c>
      <c r="R257" s="101">
        <f t="shared" si="95"/>
        <v>-7923.3209689922123</v>
      </c>
      <c r="S257" s="101">
        <f t="shared" si="95"/>
        <v>-9596.948476113128</v>
      </c>
      <c r="T257" s="101">
        <f t="shared" si="95"/>
        <v>-13144.365874684832</v>
      </c>
      <c r="U257" s="95"/>
    </row>
    <row r="258" spans="3:21">
      <c r="C258" s="64" t="s">
        <v>59</v>
      </c>
      <c r="J258" s="101">
        <f t="shared" ref="J258:T258" si="96">-J119</f>
        <v>-24000</v>
      </c>
      <c r="K258" s="101">
        <f t="shared" si="96"/>
        <v>-17000</v>
      </c>
      <c r="L258" s="101">
        <f t="shared" si="96"/>
        <v>-15000</v>
      </c>
      <c r="M258" s="101">
        <f t="shared" si="96"/>
        <v>-14000</v>
      </c>
      <c r="N258" s="101">
        <f t="shared" si="96"/>
        <v>-13500</v>
      </c>
      <c r="O258" s="101">
        <f t="shared" si="96"/>
        <v>-13500</v>
      </c>
      <c r="P258" s="101">
        <f t="shared" si="96"/>
        <v>-14000</v>
      </c>
      <c r="Q258" s="101">
        <f t="shared" si="96"/>
        <v>-14500</v>
      </c>
      <c r="R258" s="101">
        <f t="shared" si="96"/>
        <v>-15000</v>
      </c>
      <c r="S258" s="101">
        <f t="shared" si="96"/>
        <v>-15500</v>
      </c>
      <c r="T258" s="101">
        <f t="shared" si="96"/>
        <v>-15269.75</v>
      </c>
      <c r="U258" s="95"/>
    </row>
    <row r="259" spans="3:21">
      <c r="C259" s="64" t="s">
        <v>254</v>
      </c>
      <c r="J259" s="101">
        <f t="shared" ref="J259:T259" si="97">J110</f>
        <v>-780.15316418630391</v>
      </c>
      <c r="K259" s="101">
        <f t="shared" si="97"/>
        <v>-597.7425275049427</v>
      </c>
      <c r="L259" s="101">
        <f t="shared" si="97"/>
        <v>-791.92852888067864</v>
      </c>
      <c r="M259" s="101">
        <f t="shared" si="97"/>
        <v>-778.07365801902415</v>
      </c>
      <c r="N259" s="101">
        <f t="shared" si="97"/>
        <v>-821.29415781576245</v>
      </c>
      <c r="O259" s="101">
        <f t="shared" si="97"/>
        <v>-822.68005293411989</v>
      </c>
      <c r="P259" s="101">
        <f t="shared" si="97"/>
        <v>-796.11427412665216</v>
      </c>
      <c r="Q259" s="101">
        <f t="shared" si="97"/>
        <v>-769.05366365632653</v>
      </c>
      <c r="R259" s="101">
        <f t="shared" si="97"/>
        <v>-678.68731113776812</v>
      </c>
      <c r="S259" s="101">
        <f t="shared" si="97"/>
        <v>-606.96956070216766</v>
      </c>
      <c r="T259" s="101">
        <f t="shared" si="97"/>
        <v>-497.35293794982863</v>
      </c>
      <c r="U259" s="95"/>
    </row>
    <row r="260" spans="3:21">
      <c r="C260" s="60" t="s">
        <v>255</v>
      </c>
      <c r="J260" s="103">
        <f t="shared" ref="J260:T260" si="98">SUM(J256:J259)</f>
        <v>-14036.857832186322</v>
      </c>
      <c r="K260" s="103">
        <f t="shared" si="98"/>
        <v>-2803.2447145789429</v>
      </c>
      <c r="L260" s="103">
        <f t="shared" si="98"/>
        <v>12278.115603283888</v>
      </c>
      <c r="M260" s="103">
        <f t="shared" si="98"/>
        <v>19907.786365795542</v>
      </c>
      <c r="N260" s="103">
        <f t="shared" si="98"/>
        <v>27320.014535292459</v>
      </c>
      <c r="O260" s="103">
        <f t="shared" si="98"/>
        <v>32402.245113590638</v>
      </c>
      <c r="P260" s="103">
        <f t="shared" si="98"/>
        <v>38218.663344406836</v>
      </c>
      <c r="Q260" s="103">
        <f t="shared" si="98"/>
        <v>42767.676516933425</v>
      </c>
      <c r="R260" s="103">
        <f t="shared" si="98"/>
        <v>43106.15816670483</v>
      </c>
      <c r="S260" s="103">
        <f t="shared" si="98"/>
        <v>46082.005705162039</v>
      </c>
      <c r="T260" s="103">
        <f t="shared" si="98"/>
        <v>46105.398799569128</v>
      </c>
      <c r="U260" s="95"/>
    </row>
    <row r="261" spans="3:21"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95"/>
    </row>
    <row r="262" spans="3:21">
      <c r="C262" s="45" t="s">
        <v>256</v>
      </c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95"/>
    </row>
    <row r="263" spans="3:21">
      <c r="C263" s="64" t="s">
        <v>194</v>
      </c>
      <c r="J263" s="101">
        <f t="shared" ref="J263:T263" si="99">J85</f>
        <v>3958.6728319999816</v>
      </c>
      <c r="K263" s="101">
        <f t="shared" si="99"/>
        <v>4555.6353129259996</v>
      </c>
      <c r="L263" s="101">
        <f t="shared" si="99"/>
        <v>16601.441632164566</v>
      </c>
      <c r="M263" s="101">
        <f t="shared" si="99"/>
        <v>22014.009523814562</v>
      </c>
      <c r="N263" s="101">
        <f t="shared" si="99"/>
        <v>28113.411793108218</v>
      </c>
      <c r="O263" s="101">
        <f t="shared" si="99"/>
        <v>32121.391146524755</v>
      </c>
      <c r="P263" s="101">
        <f t="shared" si="99"/>
        <v>37309.633902533489</v>
      </c>
      <c r="Q263" s="101">
        <f t="shared" si="99"/>
        <v>41174.798707789749</v>
      </c>
      <c r="R263" s="101">
        <f t="shared" si="99"/>
        <v>45125.766299602605</v>
      </c>
      <c r="S263" s="101">
        <f t="shared" si="99"/>
        <v>47271.811923272209</v>
      </c>
      <c r="T263" s="101">
        <f t="shared" si="99"/>
        <v>46329.751737518956</v>
      </c>
      <c r="U263" s="95"/>
    </row>
    <row r="264" spans="3:21">
      <c r="C264" s="64" t="s">
        <v>180</v>
      </c>
      <c r="J264" s="101">
        <f t="shared" ref="J264:T264" si="100">J67</f>
        <v>6855.875</v>
      </c>
      <c r="K264" s="101">
        <f t="shared" si="100"/>
        <v>8905.875</v>
      </c>
      <c r="L264" s="101">
        <f t="shared" si="100"/>
        <v>10505.875</v>
      </c>
      <c r="M264" s="101">
        <f t="shared" si="100"/>
        <v>11955.875</v>
      </c>
      <c r="N264" s="101">
        <f t="shared" si="100"/>
        <v>13330.875</v>
      </c>
      <c r="O264" s="101">
        <f t="shared" si="100"/>
        <v>14680.875</v>
      </c>
      <c r="P264" s="101">
        <f t="shared" si="100"/>
        <v>16055.875</v>
      </c>
      <c r="Q264" s="101">
        <f t="shared" si="100"/>
        <v>17480.875</v>
      </c>
      <c r="R264" s="101">
        <f t="shared" si="100"/>
        <v>13300</v>
      </c>
      <c r="S264" s="101">
        <f t="shared" si="100"/>
        <v>14825</v>
      </c>
      <c r="T264" s="101">
        <f t="shared" si="100"/>
        <v>15269.75</v>
      </c>
      <c r="U264" s="95"/>
    </row>
    <row r="265" spans="3:21">
      <c r="C265" s="64" t="s">
        <v>192</v>
      </c>
      <c r="J265" s="101">
        <f t="shared" ref="J265:T265" si="101">J82</f>
        <v>515.70749999999998</v>
      </c>
      <c r="K265" s="101">
        <f t="shared" si="101"/>
        <v>561.90750000000003</v>
      </c>
      <c r="L265" s="101">
        <f t="shared" si="101"/>
        <v>409.6674999999999</v>
      </c>
      <c r="M265" s="101">
        <f t="shared" si="101"/>
        <v>184.47550000000069</v>
      </c>
      <c r="N265" s="101">
        <f t="shared" si="101"/>
        <v>-75.978099999999813</v>
      </c>
      <c r="O265" s="101">
        <f t="shared" si="101"/>
        <v>-350.34097999999949</v>
      </c>
      <c r="P265" s="101">
        <f t="shared" si="101"/>
        <v>-623.7312839999995</v>
      </c>
      <c r="Q265" s="101">
        <f t="shared" si="101"/>
        <v>-891.94352720000006</v>
      </c>
      <c r="R265" s="101">
        <f t="shared" si="101"/>
        <v>86.079178239999237</v>
      </c>
      <c r="S265" s="101">
        <f t="shared" si="101"/>
        <v>-180.83665740799916</v>
      </c>
      <c r="T265" s="101">
        <f t="shared" si="101"/>
        <v>0</v>
      </c>
      <c r="U265" s="95"/>
    </row>
    <row r="266" spans="3:21">
      <c r="C266" s="64" t="s">
        <v>179</v>
      </c>
      <c r="J266" s="101">
        <f t="shared" ref="J266:T266" si="102">J78</f>
        <v>-825</v>
      </c>
      <c r="K266" s="101">
        <f t="shared" si="102"/>
        <v>350</v>
      </c>
      <c r="L266" s="101">
        <f t="shared" si="102"/>
        <v>350</v>
      </c>
      <c r="M266" s="101">
        <f t="shared" si="102"/>
        <v>350</v>
      </c>
      <c r="N266" s="101">
        <f t="shared" si="102"/>
        <v>350</v>
      </c>
      <c r="O266" s="101">
        <f t="shared" si="102"/>
        <v>350</v>
      </c>
      <c r="P266" s="101">
        <f t="shared" si="102"/>
        <v>350</v>
      </c>
      <c r="Q266" s="101">
        <f t="shared" si="102"/>
        <v>350</v>
      </c>
      <c r="R266" s="101">
        <f t="shared" si="102"/>
        <v>350</v>
      </c>
      <c r="S266" s="101">
        <f t="shared" si="102"/>
        <v>350</v>
      </c>
      <c r="T266" s="101">
        <f t="shared" si="102"/>
        <v>350</v>
      </c>
      <c r="U266" s="95"/>
    </row>
    <row r="267" spans="3:21">
      <c r="C267" s="64" t="s">
        <v>257</v>
      </c>
      <c r="J267" s="101">
        <f t="shared" ref="J267:T267" si="103">-J252</f>
        <v>238.03999999999996</v>
      </c>
      <c r="K267" s="101">
        <f t="shared" si="103"/>
        <v>421.08000000000004</v>
      </c>
      <c r="L267" s="101">
        <f t="shared" si="103"/>
        <v>203.06000000000006</v>
      </c>
      <c r="M267" s="101">
        <f t="shared" si="103"/>
        <v>181.49999999999989</v>
      </c>
      <c r="N267" s="101">
        <f t="shared" si="103"/>
        <v>-77</v>
      </c>
      <c r="O267" s="101">
        <f t="shared" si="103"/>
        <v>-77</v>
      </c>
      <c r="P267" s="101">
        <f t="shared" si="103"/>
        <v>-77</v>
      </c>
      <c r="Q267" s="101">
        <f t="shared" si="103"/>
        <v>-77</v>
      </c>
      <c r="R267" s="101">
        <f t="shared" si="103"/>
        <v>-77</v>
      </c>
      <c r="S267" s="101">
        <f t="shared" si="103"/>
        <v>-77</v>
      </c>
      <c r="T267" s="101">
        <f t="shared" si="103"/>
        <v>-77</v>
      </c>
      <c r="U267" s="95"/>
    </row>
    <row r="268" spans="3:21">
      <c r="C268" s="64" t="s">
        <v>59</v>
      </c>
      <c r="J268" s="101">
        <f t="shared" ref="J268:T268" si="104">J258</f>
        <v>-24000</v>
      </c>
      <c r="K268" s="101">
        <f t="shared" si="104"/>
        <v>-17000</v>
      </c>
      <c r="L268" s="101">
        <f t="shared" si="104"/>
        <v>-15000</v>
      </c>
      <c r="M268" s="101">
        <f t="shared" si="104"/>
        <v>-14000</v>
      </c>
      <c r="N268" s="101">
        <f t="shared" si="104"/>
        <v>-13500</v>
      </c>
      <c r="O268" s="101">
        <f t="shared" si="104"/>
        <v>-13500</v>
      </c>
      <c r="P268" s="101">
        <f t="shared" si="104"/>
        <v>-14000</v>
      </c>
      <c r="Q268" s="101">
        <f t="shared" si="104"/>
        <v>-14500</v>
      </c>
      <c r="R268" s="101">
        <f t="shared" si="104"/>
        <v>-15000</v>
      </c>
      <c r="S268" s="101">
        <f t="shared" si="104"/>
        <v>-15500</v>
      </c>
      <c r="T268" s="101">
        <f t="shared" si="104"/>
        <v>-15269.75</v>
      </c>
      <c r="U268" s="95"/>
    </row>
    <row r="269" spans="3:21">
      <c r="C269" s="64" t="s">
        <v>254</v>
      </c>
      <c r="J269" s="101">
        <f t="shared" ref="J269:T269" si="105">J259</f>
        <v>-780.15316418630391</v>
      </c>
      <c r="K269" s="101">
        <f t="shared" si="105"/>
        <v>-597.7425275049427</v>
      </c>
      <c r="L269" s="101">
        <f t="shared" si="105"/>
        <v>-791.92852888067864</v>
      </c>
      <c r="M269" s="101">
        <f t="shared" si="105"/>
        <v>-778.07365801902415</v>
      </c>
      <c r="N269" s="101">
        <f t="shared" si="105"/>
        <v>-821.29415781576245</v>
      </c>
      <c r="O269" s="101">
        <f t="shared" si="105"/>
        <v>-822.68005293411989</v>
      </c>
      <c r="P269" s="101">
        <f t="shared" si="105"/>
        <v>-796.11427412665216</v>
      </c>
      <c r="Q269" s="101">
        <f t="shared" si="105"/>
        <v>-769.05366365632653</v>
      </c>
      <c r="R269" s="101">
        <f t="shared" si="105"/>
        <v>-678.68731113776812</v>
      </c>
      <c r="S269" s="101">
        <f t="shared" si="105"/>
        <v>-606.96956070216766</v>
      </c>
      <c r="T269" s="101">
        <f t="shared" si="105"/>
        <v>-497.35293794982863</v>
      </c>
      <c r="U269" s="95"/>
    </row>
    <row r="270" spans="3:21">
      <c r="C270" s="60" t="s">
        <v>255</v>
      </c>
      <c r="J270" s="103">
        <f t="shared" ref="J270:T270" si="106">SUM(J263:J269)</f>
        <v>-14036.857832186321</v>
      </c>
      <c r="K270" s="103">
        <f t="shared" si="106"/>
        <v>-2803.2447145789447</v>
      </c>
      <c r="L270" s="103">
        <f t="shared" si="106"/>
        <v>12278.115603283888</v>
      </c>
      <c r="M270" s="103">
        <f t="shared" si="106"/>
        <v>19907.786365795535</v>
      </c>
      <c r="N270" s="103">
        <f t="shared" si="106"/>
        <v>27320.014535292452</v>
      </c>
      <c r="O270" s="103">
        <f t="shared" si="106"/>
        <v>32402.24511359063</v>
      </c>
      <c r="P270" s="103">
        <f t="shared" si="106"/>
        <v>38218.663344406836</v>
      </c>
      <c r="Q270" s="103">
        <f t="shared" si="106"/>
        <v>42767.676516933425</v>
      </c>
      <c r="R270" s="103">
        <f t="shared" si="106"/>
        <v>43106.15816670483</v>
      </c>
      <c r="S270" s="103">
        <f t="shared" si="106"/>
        <v>46082.005705162039</v>
      </c>
      <c r="T270" s="103">
        <f t="shared" si="106"/>
        <v>46105.398799569128</v>
      </c>
      <c r="U270" s="95"/>
    </row>
    <row r="271" spans="3:21"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</row>
    <row r="272" spans="3:21">
      <c r="C272" s="60" t="s">
        <v>258</v>
      </c>
      <c r="J272" s="91">
        <f t="shared" ref="J272:T272" si="107">IF(ROUND(J260-J270,1)=0,0,1)</f>
        <v>0</v>
      </c>
      <c r="K272" s="91">
        <f t="shared" si="107"/>
        <v>0</v>
      </c>
      <c r="L272" s="91">
        <f t="shared" si="107"/>
        <v>0</v>
      </c>
      <c r="M272" s="91">
        <f t="shared" si="107"/>
        <v>0</v>
      </c>
      <c r="N272" s="91">
        <f t="shared" si="107"/>
        <v>0</v>
      </c>
      <c r="O272" s="91">
        <f t="shared" si="107"/>
        <v>0</v>
      </c>
      <c r="P272" s="91">
        <f t="shared" si="107"/>
        <v>0</v>
      </c>
      <c r="Q272" s="91">
        <f t="shared" si="107"/>
        <v>0</v>
      </c>
      <c r="R272" s="91">
        <f t="shared" si="107"/>
        <v>0</v>
      </c>
      <c r="S272" s="91">
        <f t="shared" si="107"/>
        <v>0</v>
      </c>
      <c r="T272" s="91">
        <f t="shared" si="107"/>
        <v>0</v>
      </c>
      <c r="U272" s="95"/>
    </row>
    <row r="276" spans="2:21" ht="20.25" customHeight="1">
      <c r="B276" s="58" t="s">
        <v>16</v>
      </c>
      <c r="C276" s="27" t="s">
        <v>259</v>
      </c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</row>
    <row r="278" spans="2:21">
      <c r="C278" s="33" t="s">
        <v>19</v>
      </c>
    </row>
    <row r="279" spans="2:21">
      <c r="C279" s="45" t="str">
        <f>IF(Inputs!$E$11=1,"Best Case Selected",IF(Inputs!$E$11=2,"Base Case Selected","Worst Case Selected"))</f>
        <v>Base Case Selected</v>
      </c>
      <c r="I279" s="60" t="s">
        <v>134</v>
      </c>
      <c r="J279" s="60" t="s">
        <v>260</v>
      </c>
      <c r="T279" s="60" t="s">
        <v>47</v>
      </c>
    </row>
    <row r="280" spans="2:21">
      <c r="I280" s="33" t="s">
        <v>120</v>
      </c>
      <c r="J280" s="33" t="s">
        <v>120</v>
      </c>
      <c r="K280" s="33" t="s">
        <v>120</v>
      </c>
      <c r="L280" s="33" t="s">
        <v>120</v>
      </c>
      <c r="M280" s="33" t="s">
        <v>120</v>
      </c>
      <c r="N280" s="33" t="s">
        <v>120</v>
      </c>
      <c r="O280" s="33" t="s">
        <v>120</v>
      </c>
      <c r="P280" s="33" t="s">
        <v>120</v>
      </c>
      <c r="Q280" s="33" t="s">
        <v>120</v>
      </c>
      <c r="R280" s="33" t="s">
        <v>120</v>
      </c>
      <c r="S280" s="33" t="s">
        <v>120</v>
      </c>
      <c r="T280" s="33" t="s">
        <v>120</v>
      </c>
    </row>
    <row r="281" spans="2:21">
      <c r="C281" s="64" t="s">
        <v>27</v>
      </c>
      <c r="D281" s="65">
        <f>Outputs!$P$14</f>
        <v>0.03</v>
      </c>
      <c r="G281" s="64" t="s">
        <v>261</v>
      </c>
      <c r="I281" s="89">
        <f>Inputs!$G$130</f>
        <v>46203</v>
      </c>
      <c r="J281" s="89">
        <f>Inputs!$G$132</f>
        <v>46387</v>
      </c>
      <c r="K281" s="90">
        <f t="shared" ref="K281:T281" si="108">EDATE(J281,12)</f>
        <v>46752</v>
      </c>
      <c r="L281" s="90">
        <f t="shared" si="108"/>
        <v>47118</v>
      </c>
      <c r="M281" s="90">
        <f t="shared" si="108"/>
        <v>47483</v>
      </c>
      <c r="N281" s="90">
        <f t="shared" si="108"/>
        <v>47848</v>
      </c>
      <c r="O281" s="90">
        <f t="shared" si="108"/>
        <v>48213</v>
      </c>
      <c r="P281" s="90">
        <f t="shared" si="108"/>
        <v>48579</v>
      </c>
      <c r="Q281" s="90">
        <f t="shared" si="108"/>
        <v>48944</v>
      </c>
      <c r="R281" s="90">
        <f t="shared" si="108"/>
        <v>49309</v>
      </c>
      <c r="S281" s="90">
        <f t="shared" si="108"/>
        <v>49674</v>
      </c>
      <c r="T281" s="90">
        <f t="shared" si="108"/>
        <v>50040</v>
      </c>
    </row>
    <row r="282" spans="2:21">
      <c r="C282" s="64" t="s">
        <v>28</v>
      </c>
      <c r="D282" s="66">
        <f>Outputs!$P$15</f>
        <v>7.8316088316660995E-2</v>
      </c>
      <c r="G282" s="64" t="s">
        <v>262</v>
      </c>
      <c r="I282" s="90">
        <f>I281</f>
        <v>46203</v>
      </c>
      <c r="J282" s="89">
        <f>Inputs!$G$131</f>
        <v>46387</v>
      </c>
      <c r="K282" s="90">
        <f t="shared" ref="K282:T282" si="109">EDATE(J282,12)</f>
        <v>46752</v>
      </c>
      <c r="L282" s="90">
        <f t="shared" si="109"/>
        <v>47118</v>
      </c>
      <c r="M282" s="90">
        <f t="shared" si="109"/>
        <v>47483</v>
      </c>
      <c r="N282" s="90">
        <f t="shared" si="109"/>
        <v>47848</v>
      </c>
      <c r="O282" s="90">
        <f t="shared" si="109"/>
        <v>48213</v>
      </c>
      <c r="P282" s="90">
        <f t="shared" si="109"/>
        <v>48579</v>
      </c>
      <c r="Q282" s="90">
        <f t="shared" si="109"/>
        <v>48944</v>
      </c>
      <c r="R282" s="90">
        <f t="shared" si="109"/>
        <v>49309</v>
      </c>
      <c r="S282" s="90">
        <f t="shared" si="109"/>
        <v>49674</v>
      </c>
      <c r="T282" s="90">
        <f t="shared" si="109"/>
        <v>50040</v>
      </c>
    </row>
    <row r="283" spans="2:21"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</row>
    <row r="284" spans="2:21">
      <c r="C284" s="60" t="s">
        <v>255</v>
      </c>
      <c r="I284" s="101">
        <v>0</v>
      </c>
      <c r="J284" s="101">
        <f t="shared" ref="J284:T284" si="110">J$270</f>
        <v>-14036.857832186321</v>
      </c>
      <c r="K284" s="101">
        <f t="shared" si="110"/>
        <v>-2803.2447145789447</v>
      </c>
      <c r="L284" s="101">
        <f t="shared" si="110"/>
        <v>12278.115603283888</v>
      </c>
      <c r="M284" s="101">
        <f t="shared" si="110"/>
        <v>19907.786365795535</v>
      </c>
      <c r="N284" s="101">
        <f t="shared" si="110"/>
        <v>27320.014535292452</v>
      </c>
      <c r="O284" s="101">
        <f t="shared" si="110"/>
        <v>32402.24511359063</v>
      </c>
      <c r="P284" s="101">
        <f t="shared" si="110"/>
        <v>38218.663344406836</v>
      </c>
      <c r="Q284" s="101">
        <f t="shared" si="110"/>
        <v>42767.676516933425</v>
      </c>
      <c r="R284" s="101">
        <f t="shared" si="110"/>
        <v>43106.15816670483</v>
      </c>
      <c r="S284" s="101">
        <f t="shared" si="110"/>
        <v>46082.005705162039</v>
      </c>
      <c r="T284" s="55">
        <f t="shared" si="110"/>
        <v>46105.398799569128</v>
      </c>
    </row>
    <row r="285" spans="2:21"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</row>
    <row r="286" spans="2:21">
      <c r="C286" s="45" t="s">
        <v>263</v>
      </c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</row>
    <row r="287" spans="2:21">
      <c r="C287" s="64" t="s">
        <v>260</v>
      </c>
      <c r="I287" s="101">
        <v>0</v>
      </c>
      <c r="J287" s="101">
        <f t="shared" ref="J287:S287" si="111">J284</f>
        <v>-14036.857832186321</v>
      </c>
      <c r="K287" s="101">
        <f t="shared" si="111"/>
        <v>-2803.2447145789447</v>
      </c>
      <c r="L287" s="101">
        <f t="shared" si="111"/>
        <v>12278.115603283888</v>
      </c>
      <c r="M287" s="101">
        <f t="shared" si="111"/>
        <v>19907.786365795535</v>
      </c>
      <c r="N287" s="101">
        <f t="shared" si="111"/>
        <v>27320.014535292452</v>
      </c>
      <c r="O287" s="101">
        <f t="shared" si="111"/>
        <v>32402.24511359063</v>
      </c>
      <c r="P287" s="101">
        <f t="shared" si="111"/>
        <v>38218.663344406836</v>
      </c>
      <c r="Q287" s="101">
        <f t="shared" si="111"/>
        <v>42767.676516933425</v>
      </c>
      <c r="R287" s="101">
        <f t="shared" si="111"/>
        <v>43106.15816670483</v>
      </c>
      <c r="S287" s="101">
        <f t="shared" si="111"/>
        <v>46082.005705162039</v>
      </c>
    </row>
    <row r="288" spans="2:21">
      <c r="C288" s="64" t="s">
        <v>264</v>
      </c>
      <c r="I288" s="101">
        <v>0</v>
      </c>
      <c r="J288" s="101">
        <v>0</v>
      </c>
      <c r="K288" s="101">
        <v>0</v>
      </c>
      <c r="L288" s="101">
        <v>0</v>
      </c>
      <c r="M288" s="101">
        <v>0</v>
      </c>
      <c r="N288" s="101">
        <v>0</v>
      </c>
      <c r="O288" s="101">
        <v>0</v>
      </c>
      <c r="P288" s="101">
        <v>0</v>
      </c>
      <c r="Q288" s="101">
        <v>0</v>
      </c>
      <c r="R288" s="101">
        <v>0</v>
      </c>
      <c r="S288" s="101">
        <f>$T$284/($D$282-$D$281)</f>
        <v>954245.27121063427</v>
      </c>
    </row>
    <row r="289" spans="3:19">
      <c r="C289" s="60" t="s">
        <v>265</v>
      </c>
      <c r="I289" s="103">
        <f t="shared" ref="I289:S289" si="112">I287+I288</f>
        <v>0</v>
      </c>
      <c r="J289" s="103">
        <f t="shared" si="112"/>
        <v>-14036.857832186321</v>
      </c>
      <c r="K289" s="103">
        <f t="shared" si="112"/>
        <v>-2803.2447145789447</v>
      </c>
      <c r="L289" s="103">
        <f t="shared" si="112"/>
        <v>12278.115603283888</v>
      </c>
      <c r="M289" s="103">
        <f t="shared" si="112"/>
        <v>19907.786365795535</v>
      </c>
      <c r="N289" s="103">
        <f t="shared" si="112"/>
        <v>27320.014535292452</v>
      </c>
      <c r="O289" s="103">
        <f t="shared" si="112"/>
        <v>32402.24511359063</v>
      </c>
      <c r="P289" s="103">
        <f t="shared" si="112"/>
        <v>38218.663344406836</v>
      </c>
      <c r="Q289" s="103">
        <f t="shared" si="112"/>
        <v>42767.676516933425</v>
      </c>
      <c r="R289" s="103">
        <f t="shared" si="112"/>
        <v>43106.15816670483</v>
      </c>
      <c r="S289" s="103">
        <f t="shared" si="112"/>
        <v>1000327.2769157963</v>
      </c>
    </row>
    <row r="290" spans="3:19"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</row>
    <row r="291" spans="3:19">
      <c r="C291" s="45" t="s">
        <v>266</v>
      </c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</row>
    <row r="292" spans="3:19">
      <c r="C292" s="64" t="s">
        <v>267</v>
      </c>
      <c r="I292" s="101">
        <v>0</v>
      </c>
      <c r="J292" s="101">
        <f t="shared" ref="J292:S292" si="113">YEARFRAC(J281,I281)</f>
        <v>0.5</v>
      </c>
      <c r="K292" s="101">
        <f t="shared" si="113"/>
        <v>1</v>
      </c>
      <c r="L292" s="101">
        <f t="shared" si="113"/>
        <v>1</v>
      </c>
      <c r="M292" s="101">
        <f t="shared" si="113"/>
        <v>1</v>
      </c>
      <c r="N292" s="101">
        <f t="shared" si="113"/>
        <v>1</v>
      </c>
      <c r="O292" s="101">
        <f t="shared" si="113"/>
        <v>1</v>
      </c>
      <c r="P292" s="101">
        <f t="shared" si="113"/>
        <v>1</v>
      </c>
      <c r="Q292" s="101">
        <f t="shared" si="113"/>
        <v>1</v>
      </c>
      <c r="R292" s="101">
        <f t="shared" si="113"/>
        <v>1</v>
      </c>
      <c r="S292" s="101">
        <f t="shared" si="113"/>
        <v>1</v>
      </c>
    </row>
    <row r="293" spans="3:19"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</row>
    <row r="294" spans="3:19">
      <c r="C294" s="64" t="s">
        <v>260</v>
      </c>
      <c r="I294" s="101">
        <v>0</v>
      </c>
      <c r="J294" s="101">
        <f t="shared" ref="J294:S294" si="114">J287*J$292</f>
        <v>-7018.4289160931603</v>
      </c>
      <c r="K294" s="101">
        <f t="shared" si="114"/>
        <v>-2803.2447145789447</v>
      </c>
      <c r="L294" s="101">
        <f t="shared" si="114"/>
        <v>12278.115603283888</v>
      </c>
      <c r="M294" s="101">
        <f t="shared" si="114"/>
        <v>19907.786365795535</v>
      </c>
      <c r="N294" s="101">
        <f t="shared" si="114"/>
        <v>27320.014535292452</v>
      </c>
      <c r="O294" s="101">
        <f t="shared" si="114"/>
        <v>32402.24511359063</v>
      </c>
      <c r="P294" s="101">
        <f t="shared" si="114"/>
        <v>38218.663344406836</v>
      </c>
      <c r="Q294" s="101">
        <f t="shared" si="114"/>
        <v>42767.676516933425</v>
      </c>
      <c r="R294" s="101">
        <f t="shared" si="114"/>
        <v>43106.15816670483</v>
      </c>
      <c r="S294" s="101">
        <f t="shared" si="114"/>
        <v>46082.005705162039</v>
      </c>
    </row>
    <row r="295" spans="3:19">
      <c r="C295" s="64" t="s">
        <v>264</v>
      </c>
      <c r="I295" s="101">
        <v>0</v>
      </c>
      <c r="J295" s="101">
        <f t="shared" ref="J295:S295" si="115">J288*J$292</f>
        <v>0</v>
      </c>
      <c r="K295" s="101">
        <f t="shared" si="115"/>
        <v>0</v>
      </c>
      <c r="L295" s="101">
        <f t="shared" si="115"/>
        <v>0</v>
      </c>
      <c r="M295" s="101">
        <f t="shared" si="115"/>
        <v>0</v>
      </c>
      <c r="N295" s="101">
        <f t="shared" si="115"/>
        <v>0</v>
      </c>
      <c r="O295" s="101">
        <f t="shared" si="115"/>
        <v>0</v>
      </c>
      <c r="P295" s="101">
        <f t="shared" si="115"/>
        <v>0</v>
      </c>
      <c r="Q295" s="101">
        <f t="shared" si="115"/>
        <v>0</v>
      </c>
      <c r="R295" s="101">
        <f t="shared" si="115"/>
        <v>0</v>
      </c>
      <c r="S295" s="101">
        <f t="shared" si="115"/>
        <v>954245.27121063427</v>
      </c>
    </row>
    <row r="296" spans="3:19">
      <c r="C296" s="60" t="s">
        <v>265</v>
      </c>
      <c r="I296" s="103">
        <f t="shared" ref="I296:S296" si="116">I294+I295</f>
        <v>0</v>
      </c>
      <c r="J296" s="103">
        <f t="shared" si="116"/>
        <v>-7018.4289160931603</v>
      </c>
      <c r="K296" s="103">
        <f t="shared" si="116"/>
        <v>-2803.2447145789447</v>
      </c>
      <c r="L296" s="103">
        <f t="shared" si="116"/>
        <v>12278.115603283888</v>
      </c>
      <c r="M296" s="103">
        <f t="shared" si="116"/>
        <v>19907.786365795535</v>
      </c>
      <c r="N296" s="103">
        <f t="shared" si="116"/>
        <v>27320.014535292452</v>
      </c>
      <c r="O296" s="103">
        <f t="shared" si="116"/>
        <v>32402.24511359063</v>
      </c>
      <c r="P296" s="103">
        <f t="shared" si="116"/>
        <v>38218.663344406836</v>
      </c>
      <c r="Q296" s="103">
        <f t="shared" si="116"/>
        <v>42767.676516933425</v>
      </c>
      <c r="R296" s="103">
        <f t="shared" si="116"/>
        <v>43106.15816670483</v>
      </c>
      <c r="S296" s="103">
        <f t="shared" si="116"/>
        <v>1000327.2769157963</v>
      </c>
    </row>
    <row r="297" spans="3:19"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</row>
    <row r="298" spans="3:19">
      <c r="C298" s="45" t="s">
        <v>268</v>
      </c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</row>
    <row r="299" spans="3:19">
      <c r="C299" s="64" t="s">
        <v>269</v>
      </c>
      <c r="I299" s="101">
        <v>0</v>
      </c>
      <c r="J299" s="101">
        <f t="shared" ref="J299:S299" si="117">I299+YEARFRAC(I282,J282)</f>
        <v>0.5</v>
      </c>
      <c r="K299" s="101">
        <f t="shared" si="117"/>
        <v>1.5</v>
      </c>
      <c r="L299" s="101">
        <f t="shared" si="117"/>
        <v>2.5</v>
      </c>
      <c r="M299" s="101">
        <f t="shared" si="117"/>
        <v>3.5</v>
      </c>
      <c r="N299" s="101">
        <f t="shared" si="117"/>
        <v>4.5</v>
      </c>
      <c r="O299" s="101">
        <f t="shared" si="117"/>
        <v>5.5</v>
      </c>
      <c r="P299" s="101">
        <f t="shared" si="117"/>
        <v>6.5</v>
      </c>
      <c r="Q299" s="101">
        <f t="shared" si="117"/>
        <v>7.5</v>
      </c>
      <c r="R299" s="101">
        <f t="shared" si="117"/>
        <v>8.5</v>
      </c>
      <c r="S299" s="101">
        <f t="shared" si="117"/>
        <v>9.5</v>
      </c>
    </row>
    <row r="300" spans="3:19"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</row>
    <row r="301" spans="3:19">
      <c r="C301" s="64" t="s">
        <v>260</v>
      </c>
      <c r="I301" s="101">
        <v>0</v>
      </c>
      <c r="J301" s="101">
        <f t="shared" ref="J301:S301" si="118">J294/(1+$D$282)^J$299</f>
        <v>-6758.7574800168995</v>
      </c>
      <c r="K301" s="101">
        <f t="shared" si="118"/>
        <v>-2503.4670786988563</v>
      </c>
      <c r="L301" s="101">
        <f t="shared" si="118"/>
        <v>10168.725079311787</v>
      </c>
      <c r="M301" s="101">
        <f t="shared" si="118"/>
        <v>15290.147486243013</v>
      </c>
      <c r="N301" s="101">
        <f t="shared" si="118"/>
        <v>19459.135587917994</v>
      </c>
      <c r="O301" s="101">
        <f t="shared" si="118"/>
        <v>21402.851402202017</v>
      </c>
      <c r="P301" s="101">
        <f t="shared" si="118"/>
        <v>23411.322219458285</v>
      </c>
      <c r="Q301" s="101">
        <f t="shared" si="118"/>
        <v>24295.174349295958</v>
      </c>
      <c r="R301" s="101">
        <f t="shared" si="118"/>
        <v>22708.978374885301</v>
      </c>
      <c r="S301" s="101">
        <f t="shared" si="118"/>
        <v>22513.528535576537</v>
      </c>
    </row>
    <row r="302" spans="3:19">
      <c r="C302" s="64" t="s">
        <v>264</v>
      </c>
      <c r="I302" s="101">
        <v>0</v>
      </c>
      <c r="J302" s="101">
        <f t="shared" ref="J302:S302" si="119">J295/(1+$D$282)^J$299</f>
        <v>0</v>
      </c>
      <c r="K302" s="101">
        <f t="shared" si="119"/>
        <v>0</v>
      </c>
      <c r="L302" s="101">
        <f t="shared" si="119"/>
        <v>0</v>
      </c>
      <c r="M302" s="101">
        <f t="shared" si="119"/>
        <v>0</v>
      </c>
      <c r="N302" s="101">
        <f t="shared" si="119"/>
        <v>0</v>
      </c>
      <c r="O302" s="101">
        <f t="shared" si="119"/>
        <v>0</v>
      </c>
      <c r="P302" s="101">
        <f t="shared" si="119"/>
        <v>0</v>
      </c>
      <c r="Q302" s="101">
        <f t="shared" si="119"/>
        <v>0</v>
      </c>
      <c r="R302" s="101">
        <f t="shared" si="119"/>
        <v>0</v>
      </c>
      <c r="S302" s="101">
        <f t="shared" si="119"/>
        <v>466199.93671267311</v>
      </c>
    </row>
    <row r="303" spans="3:19">
      <c r="C303" s="60" t="s">
        <v>265</v>
      </c>
      <c r="I303" s="103">
        <f t="shared" ref="I303:S303" si="120">I301+I302</f>
        <v>0</v>
      </c>
      <c r="J303" s="103">
        <f t="shared" si="120"/>
        <v>-6758.7574800168995</v>
      </c>
      <c r="K303" s="103">
        <f t="shared" si="120"/>
        <v>-2503.4670786988563</v>
      </c>
      <c r="L303" s="103">
        <f t="shared" si="120"/>
        <v>10168.725079311787</v>
      </c>
      <c r="M303" s="103">
        <f t="shared" si="120"/>
        <v>15290.147486243013</v>
      </c>
      <c r="N303" s="103">
        <f t="shared" si="120"/>
        <v>19459.135587917994</v>
      </c>
      <c r="O303" s="103">
        <f t="shared" si="120"/>
        <v>21402.851402202017</v>
      </c>
      <c r="P303" s="103">
        <f t="shared" si="120"/>
        <v>23411.322219458285</v>
      </c>
      <c r="Q303" s="103">
        <f t="shared" si="120"/>
        <v>24295.174349295958</v>
      </c>
      <c r="R303" s="103">
        <f t="shared" si="120"/>
        <v>22708.978374885301</v>
      </c>
      <c r="S303" s="103">
        <f t="shared" si="120"/>
        <v>488713.46524824965</v>
      </c>
    </row>
    <row r="306" spans="2:21">
      <c r="G306" s="45" t="s">
        <v>270</v>
      </c>
      <c r="K306" s="45" t="s">
        <v>270</v>
      </c>
    </row>
    <row r="307" spans="2:21">
      <c r="G307" s="64" t="s">
        <v>271</v>
      </c>
      <c r="I307" s="108">
        <f>SUM($J$303:$S$303)</f>
        <v>616187.57518884819</v>
      </c>
      <c r="K307" s="64" t="s">
        <v>272</v>
      </c>
      <c r="M307" s="72">
        <f>N307/$N$309</f>
        <v>0.24341230579050083</v>
      </c>
      <c r="N307" s="101">
        <f>SUM($J$301:$S$301)</f>
        <v>149987.63847617514</v>
      </c>
    </row>
    <row r="308" spans="2:21">
      <c r="G308" s="64" t="s">
        <v>273</v>
      </c>
      <c r="I308" s="101">
        <f>XNPV($D$282,$I$296:$S$296,$I$282:$S$282)</f>
        <v>615752.08746096725</v>
      </c>
      <c r="K308" s="64" t="s">
        <v>274</v>
      </c>
      <c r="M308" s="72">
        <f>N308/$N$309</f>
        <v>0.75658769420949923</v>
      </c>
      <c r="N308" s="101">
        <f>SUM($J$302:$S$302)</f>
        <v>466199.93671267311</v>
      </c>
    </row>
    <row r="309" spans="2:21">
      <c r="I309" s="102"/>
      <c r="K309" s="60" t="s">
        <v>38</v>
      </c>
      <c r="M309" s="92">
        <f>N309/$N$309</f>
        <v>1</v>
      </c>
      <c r="N309" s="103">
        <f>SUM(N307:N308)</f>
        <v>616187.57518884819</v>
      </c>
    </row>
    <row r="310" spans="2:21">
      <c r="I310" s="102"/>
      <c r="N310" s="102"/>
    </row>
    <row r="311" spans="2:21">
      <c r="G311" s="45" t="s">
        <v>275</v>
      </c>
      <c r="I311" s="102"/>
      <c r="K311" s="45" t="s">
        <v>276</v>
      </c>
      <c r="N311" s="102"/>
    </row>
    <row r="312" spans="2:21">
      <c r="G312" s="64" t="s">
        <v>38</v>
      </c>
      <c r="I312" s="101">
        <f>$I$307</f>
        <v>616187.57518884819</v>
      </c>
      <c r="K312" s="64" t="s">
        <v>40</v>
      </c>
      <c r="N312" s="101">
        <f>$I$314</f>
        <v>651870.57518884819</v>
      </c>
    </row>
    <row r="313" spans="2:21">
      <c r="G313" s="64" t="s">
        <v>277</v>
      </c>
      <c r="I313" s="101">
        <f>-Inputs!$M$132</f>
        <v>35683</v>
      </c>
      <c r="K313" s="64" t="s">
        <v>33</v>
      </c>
      <c r="M313" s="33" t="s">
        <v>34</v>
      </c>
      <c r="N313" s="101">
        <f>Inputs!$G$140</f>
        <v>3545</v>
      </c>
    </row>
    <row r="314" spans="2:21">
      <c r="G314" s="60" t="s">
        <v>40</v>
      </c>
      <c r="I314" s="103">
        <f>SUM($I$312:$I$313)</f>
        <v>651870.57518884819</v>
      </c>
      <c r="K314" s="60" t="s">
        <v>39</v>
      </c>
      <c r="M314" s="33" t="s">
        <v>278</v>
      </c>
      <c r="N314" s="107">
        <f>N312/N313</f>
        <v>183.88450640023927</v>
      </c>
    </row>
    <row r="316" spans="2:21">
      <c r="G316" s="33" t="s">
        <v>279</v>
      </c>
    </row>
    <row r="318" spans="2:21" ht="20.25" customHeight="1">
      <c r="B318" s="58" t="s">
        <v>16</v>
      </c>
      <c r="C318" s="27" t="s">
        <v>280</v>
      </c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</row>
    <row r="320" spans="2:21">
      <c r="C320" s="33" t="s">
        <v>19</v>
      </c>
    </row>
    <row r="321" spans="3:20">
      <c r="C321" s="45" t="str">
        <f>IF(Inputs!$E$11=1,"Best Case Selected",IF(Inputs!$E$11=2,"Base Case Selected","Worst Case Selected"))</f>
        <v>Base Case Selected</v>
      </c>
      <c r="I321" s="60" t="s">
        <v>134</v>
      </c>
      <c r="J321" s="60" t="s">
        <v>260</v>
      </c>
      <c r="T321" s="60" t="s">
        <v>47</v>
      </c>
    </row>
    <row r="322" spans="3:20">
      <c r="I322" s="33" t="s">
        <v>120</v>
      </c>
      <c r="J322" s="33" t="s">
        <v>120</v>
      </c>
      <c r="K322" s="33" t="s">
        <v>120</v>
      </c>
      <c r="L322" s="33" t="s">
        <v>120</v>
      </c>
      <c r="M322" s="33" t="s">
        <v>120</v>
      </c>
      <c r="N322" s="33" t="s">
        <v>120</v>
      </c>
      <c r="O322" s="33" t="s">
        <v>120</v>
      </c>
      <c r="P322" s="33" t="s">
        <v>120</v>
      </c>
      <c r="Q322" s="33" t="s">
        <v>120</v>
      </c>
      <c r="R322" s="33" t="s">
        <v>120</v>
      </c>
      <c r="S322" s="33" t="s">
        <v>120</v>
      </c>
      <c r="T322" s="33" t="s">
        <v>120</v>
      </c>
    </row>
    <row r="323" spans="3:20">
      <c r="C323" s="64" t="s">
        <v>43</v>
      </c>
      <c r="D323" s="74">
        <f>Outputs!$P$55</f>
        <v>12</v>
      </c>
      <c r="G323" s="64" t="s">
        <v>261</v>
      </c>
      <c r="I323" s="89">
        <f>Inputs!$G$130</f>
        <v>46203</v>
      </c>
      <c r="J323" s="89">
        <f>Inputs!$G$132</f>
        <v>46387</v>
      </c>
      <c r="K323" s="90">
        <f t="shared" ref="K323:T323" si="121">EDATE(J323,12)</f>
        <v>46752</v>
      </c>
      <c r="L323" s="90">
        <f t="shared" si="121"/>
        <v>47118</v>
      </c>
      <c r="M323" s="90">
        <f t="shared" si="121"/>
        <v>47483</v>
      </c>
      <c r="N323" s="90">
        <f t="shared" si="121"/>
        <v>47848</v>
      </c>
      <c r="O323" s="90">
        <f t="shared" si="121"/>
        <v>48213</v>
      </c>
      <c r="P323" s="90">
        <f t="shared" si="121"/>
        <v>48579</v>
      </c>
      <c r="Q323" s="90">
        <f t="shared" si="121"/>
        <v>48944</v>
      </c>
      <c r="R323" s="90">
        <f t="shared" si="121"/>
        <v>49309</v>
      </c>
      <c r="S323" s="90">
        <f t="shared" si="121"/>
        <v>49674</v>
      </c>
      <c r="T323" s="90">
        <f t="shared" si="121"/>
        <v>50040</v>
      </c>
    </row>
    <row r="324" spans="3:20">
      <c r="C324" s="64" t="s">
        <v>28</v>
      </c>
      <c r="D324" s="66">
        <f>Outputs!$P$56</f>
        <v>7.8316088316660995E-2</v>
      </c>
      <c r="G324" s="64" t="s">
        <v>262</v>
      </c>
      <c r="I324" s="90">
        <f>I323</f>
        <v>46203</v>
      </c>
      <c r="J324" s="89">
        <f>Inputs!$G$131</f>
        <v>46387</v>
      </c>
      <c r="K324" s="90">
        <f t="shared" ref="K324:T324" si="122">EDATE(J324,12)</f>
        <v>46752</v>
      </c>
      <c r="L324" s="90">
        <f t="shared" si="122"/>
        <v>47118</v>
      </c>
      <c r="M324" s="90">
        <f t="shared" si="122"/>
        <v>47483</v>
      </c>
      <c r="N324" s="90">
        <f t="shared" si="122"/>
        <v>47848</v>
      </c>
      <c r="O324" s="90">
        <f t="shared" si="122"/>
        <v>48213</v>
      </c>
      <c r="P324" s="90">
        <f t="shared" si="122"/>
        <v>48579</v>
      </c>
      <c r="Q324" s="90">
        <f t="shared" si="122"/>
        <v>48944</v>
      </c>
      <c r="R324" s="90">
        <f t="shared" si="122"/>
        <v>49309</v>
      </c>
      <c r="S324" s="90">
        <f t="shared" si="122"/>
        <v>49674</v>
      </c>
      <c r="T324" s="90">
        <f t="shared" si="122"/>
        <v>50040</v>
      </c>
    </row>
    <row r="325" spans="3:20"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</row>
    <row r="326" spans="3:20">
      <c r="C326" s="60" t="s">
        <v>255</v>
      </c>
      <c r="I326" s="101">
        <v>0</v>
      </c>
      <c r="J326" s="101">
        <f t="shared" ref="J326:T326" si="123">J$270</f>
        <v>-14036.857832186321</v>
      </c>
      <c r="K326" s="101">
        <f t="shared" si="123"/>
        <v>-2803.2447145789447</v>
      </c>
      <c r="L326" s="101">
        <f t="shared" si="123"/>
        <v>12278.115603283888</v>
      </c>
      <c r="M326" s="101">
        <f t="shared" si="123"/>
        <v>19907.786365795535</v>
      </c>
      <c r="N326" s="101">
        <f t="shared" si="123"/>
        <v>27320.014535292452</v>
      </c>
      <c r="O326" s="101">
        <f t="shared" si="123"/>
        <v>32402.24511359063</v>
      </c>
      <c r="P326" s="101">
        <f t="shared" si="123"/>
        <v>38218.663344406836</v>
      </c>
      <c r="Q326" s="101">
        <f t="shared" si="123"/>
        <v>42767.676516933425</v>
      </c>
      <c r="R326" s="101">
        <f t="shared" si="123"/>
        <v>43106.15816670483</v>
      </c>
      <c r="S326" s="101">
        <f t="shared" si="123"/>
        <v>46082.005705162039</v>
      </c>
      <c r="T326" s="91">
        <f t="shared" si="123"/>
        <v>46105.398799569128</v>
      </c>
    </row>
    <row r="327" spans="3:20">
      <c r="C327" s="60" t="s">
        <v>281</v>
      </c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91">
        <f>$T$256</f>
        <v>75016.867612203787</v>
      </c>
    </row>
    <row r="328" spans="3:20">
      <c r="C328" s="45" t="s">
        <v>263</v>
      </c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95"/>
    </row>
    <row r="329" spans="3:20">
      <c r="C329" s="64" t="s">
        <v>260</v>
      </c>
      <c r="I329" s="101">
        <v>0</v>
      </c>
      <c r="J329" s="101">
        <f t="shared" ref="J329:S329" si="124">J326</f>
        <v>-14036.857832186321</v>
      </c>
      <c r="K329" s="101">
        <f t="shared" si="124"/>
        <v>-2803.2447145789447</v>
      </c>
      <c r="L329" s="101">
        <f t="shared" si="124"/>
        <v>12278.115603283888</v>
      </c>
      <c r="M329" s="101">
        <f t="shared" si="124"/>
        <v>19907.786365795535</v>
      </c>
      <c r="N329" s="101">
        <f t="shared" si="124"/>
        <v>27320.014535292452</v>
      </c>
      <c r="O329" s="101">
        <f t="shared" si="124"/>
        <v>32402.24511359063</v>
      </c>
      <c r="P329" s="101">
        <f t="shared" si="124"/>
        <v>38218.663344406836</v>
      </c>
      <c r="Q329" s="101">
        <f t="shared" si="124"/>
        <v>42767.676516933425</v>
      </c>
      <c r="R329" s="101">
        <f t="shared" si="124"/>
        <v>43106.15816670483</v>
      </c>
      <c r="S329" s="101">
        <f t="shared" si="124"/>
        <v>46082.005705162039</v>
      </c>
      <c r="T329" s="95"/>
    </row>
    <row r="330" spans="3:20">
      <c r="C330" s="64" t="s">
        <v>264</v>
      </c>
      <c r="I330" s="101">
        <v>0</v>
      </c>
      <c r="J330" s="101">
        <v>0</v>
      </c>
      <c r="K330" s="101">
        <v>0</v>
      </c>
      <c r="L330" s="101">
        <v>0</v>
      </c>
      <c r="M330" s="101">
        <v>0</v>
      </c>
      <c r="N330" s="101">
        <v>0</v>
      </c>
      <c r="O330" s="101">
        <v>0</v>
      </c>
      <c r="P330" s="101">
        <v>0</v>
      </c>
      <c r="Q330" s="101">
        <v>0</v>
      </c>
      <c r="R330" s="101">
        <v>0</v>
      </c>
      <c r="S330" s="101">
        <f>$T$327*$D$323</f>
        <v>900202.41134644544</v>
      </c>
      <c r="T330" s="95"/>
    </row>
    <row r="331" spans="3:20">
      <c r="C331" s="60" t="s">
        <v>265</v>
      </c>
      <c r="I331" s="103">
        <f t="shared" ref="I331:S331" si="125">I329+I330</f>
        <v>0</v>
      </c>
      <c r="J331" s="103">
        <f t="shared" si="125"/>
        <v>-14036.857832186321</v>
      </c>
      <c r="K331" s="103">
        <f t="shared" si="125"/>
        <v>-2803.2447145789447</v>
      </c>
      <c r="L331" s="103">
        <f t="shared" si="125"/>
        <v>12278.115603283888</v>
      </c>
      <c r="M331" s="103">
        <f t="shared" si="125"/>
        <v>19907.786365795535</v>
      </c>
      <c r="N331" s="103">
        <f t="shared" si="125"/>
        <v>27320.014535292452</v>
      </c>
      <c r="O331" s="103">
        <f t="shared" si="125"/>
        <v>32402.24511359063</v>
      </c>
      <c r="P331" s="103">
        <f t="shared" si="125"/>
        <v>38218.663344406836</v>
      </c>
      <c r="Q331" s="103">
        <f t="shared" si="125"/>
        <v>42767.676516933425</v>
      </c>
      <c r="R331" s="103">
        <f t="shared" si="125"/>
        <v>43106.15816670483</v>
      </c>
      <c r="S331" s="103">
        <f t="shared" si="125"/>
        <v>946284.41705160751</v>
      </c>
      <c r="T331" s="95"/>
    </row>
    <row r="332" spans="3:20"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95"/>
    </row>
    <row r="333" spans="3:20">
      <c r="C333" s="45" t="s">
        <v>266</v>
      </c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95"/>
    </row>
    <row r="334" spans="3:20">
      <c r="C334" s="64" t="s">
        <v>267</v>
      </c>
      <c r="I334" s="101">
        <v>0</v>
      </c>
      <c r="J334" s="101">
        <f t="shared" ref="J334:S334" si="126">YEARFRAC(J323,I323)</f>
        <v>0.5</v>
      </c>
      <c r="K334" s="101">
        <f t="shared" si="126"/>
        <v>1</v>
      </c>
      <c r="L334" s="101">
        <f t="shared" si="126"/>
        <v>1</v>
      </c>
      <c r="M334" s="101">
        <f t="shared" si="126"/>
        <v>1</v>
      </c>
      <c r="N334" s="101">
        <f t="shared" si="126"/>
        <v>1</v>
      </c>
      <c r="O334" s="101">
        <f t="shared" si="126"/>
        <v>1</v>
      </c>
      <c r="P334" s="101">
        <f t="shared" si="126"/>
        <v>1</v>
      </c>
      <c r="Q334" s="101">
        <f t="shared" si="126"/>
        <v>1</v>
      </c>
      <c r="R334" s="101">
        <f t="shared" si="126"/>
        <v>1</v>
      </c>
      <c r="S334" s="101">
        <f t="shared" si="126"/>
        <v>1</v>
      </c>
      <c r="T334" s="95"/>
    </row>
    <row r="335" spans="3:20"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95"/>
    </row>
    <row r="336" spans="3:20">
      <c r="C336" s="64" t="s">
        <v>260</v>
      </c>
      <c r="I336" s="101">
        <v>0</v>
      </c>
      <c r="J336" s="101">
        <f t="shared" ref="J336:S336" si="127">J329*J$334</f>
        <v>-7018.4289160931603</v>
      </c>
      <c r="K336" s="101">
        <f t="shared" si="127"/>
        <v>-2803.2447145789447</v>
      </c>
      <c r="L336" s="101">
        <f t="shared" si="127"/>
        <v>12278.115603283888</v>
      </c>
      <c r="M336" s="101">
        <f t="shared" si="127"/>
        <v>19907.786365795535</v>
      </c>
      <c r="N336" s="101">
        <f t="shared" si="127"/>
        <v>27320.014535292452</v>
      </c>
      <c r="O336" s="101">
        <f t="shared" si="127"/>
        <v>32402.24511359063</v>
      </c>
      <c r="P336" s="101">
        <f t="shared" si="127"/>
        <v>38218.663344406836</v>
      </c>
      <c r="Q336" s="101">
        <f t="shared" si="127"/>
        <v>42767.676516933425</v>
      </c>
      <c r="R336" s="101">
        <f t="shared" si="127"/>
        <v>43106.15816670483</v>
      </c>
      <c r="S336" s="101">
        <f t="shared" si="127"/>
        <v>46082.005705162039</v>
      </c>
      <c r="T336" s="95"/>
    </row>
    <row r="337" spans="3:20">
      <c r="C337" s="64" t="s">
        <v>264</v>
      </c>
      <c r="I337" s="101">
        <v>0</v>
      </c>
      <c r="J337" s="101">
        <f t="shared" ref="J337:S337" si="128">J330*J$334</f>
        <v>0</v>
      </c>
      <c r="K337" s="101">
        <f t="shared" si="128"/>
        <v>0</v>
      </c>
      <c r="L337" s="101">
        <f t="shared" si="128"/>
        <v>0</v>
      </c>
      <c r="M337" s="101">
        <f t="shared" si="128"/>
        <v>0</v>
      </c>
      <c r="N337" s="101">
        <f t="shared" si="128"/>
        <v>0</v>
      </c>
      <c r="O337" s="101">
        <f t="shared" si="128"/>
        <v>0</v>
      </c>
      <c r="P337" s="101">
        <f t="shared" si="128"/>
        <v>0</v>
      </c>
      <c r="Q337" s="101">
        <f t="shared" si="128"/>
        <v>0</v>
      </c>
      <c r="R337" s="101">
        <f t="shared" si="128"/>
        <v>0</v>
      </c>
      <c r="S337" s="101">
        <f t="shared" si="128"/>
        <v>900202.41134644544</v>
      </c>
      <c r="T337" s="95"/>
    </row>
    <row r="338" spans="3:20">
      <c r="C338" s="60" t="s">
        <v>265</v>
      </c>
      <c r="I338" s="103">
        <f t="shared" ref="I338:S338" si="129">I336+I337</f>
        <v>0</v>
      </c>
      <c r="J338" s="103">
        <f t="shared" si="129"/>
        <v>-7018.4289160931603</v>
      </c>
      <c r="K338" s="103">
        <f t="shared" si="129"/>
        <v>-2803.2447145789447</v>
      </c>
      <c r="L338" s="103">
        <f t="shared" si="129"/>
        <v>12278.115603283888</v>
      </c>
      <c r="M338" s="103">
        <f t="shared" si="129"/>
        <v>19907.786365795535</v>
      </c>
      <c r="N338" s="103">
        <f t="shared" si="129"/>
        <v>27320.014535292452</v>
      </c>
      <c r="O338" s="103">
        <f t="shared" si="129"/>
        <v>32402.24511359063</v>
      </c>
      <c r="P338" s="103">
        <f t="shared" si="129"/>
        <v>38218.663344406836</v>
      </c>
      <c r="Q338" s="103">
        <f t="shared" si="129"/>
        <v>42767.676516933425</v>
      </c>
      <c r="R338" s="103">
        <f t="shared" si="129"/>
        <v>43106.15816670483</v>
      </c>
      <c r="S338" s="103">
        <f t="shared" si="129"/>
        <v>946284.41705160751</v>
      </c>
      <c r="T338" s="95"/>
    </row>
    <row r="339" spans="3:20"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95"/>
    </row>
    <row r="340" spans="3:20">
      <c r="C340" s="45" t="s">
        <v>268</v>
      </c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95"/>
    </row>
    <row r="341" spans="3:20">
      <c r="C341" s="64" t="s">
        <v>269</v>
      </c>
      <c r="I341" s="101">
        <v>0</v>
      </c>
      <c r="J341" s="101">
        <f t="shared" ref="J341:S341" si="130">I341+YEARFRAC(I324,J324)</f>
        <v>0.5</v>
      </c>
      <c r="K341" s="101">
        <f t="shared" si="130"/>
        <v>1.5</v>
      </c>
      <c r="L341" s="101">
        <f t="shared" si="130"/>
        <v>2.5</v>
      </c>
      <c r="M341" s="101">
        <f t="shared" si="130"/>
        <v>3.5</v>
      </c>
      <c r="N341" s="101">
        <f t="shared" si="130"/>
        <v>4.5</v>
      </c>
      <c r="O341" s="101">
        <f t="shared" si="130"/>
        <v>5.5</v>
      </c>
      <c r="P341" s="101">
        <f t="shared" si="130"/>
        <v>6.5</v>
      </c>
      <c r="Q341" s="101">
        <f t="shared" si="130"/>
        <v>7.5</v>
      </c>
      <c r="R341" s="101">
        <f t="shared" si="130"/>
        <v>8.5</v>
      </c>
      <c r="S341" s="101">
        <f t="shared" si="130"/>
        <v>9.5</v>
      </c>
      <c r="T341" s="95"/>
    </row>
    <row r="342" spans="3:20"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95"/>
    </row>
    <row r="343" spans="3:20">
      <c r="C343" s="64" t="s">
        <v>260</v>
      </c>
      <c r="I343" s="101">
        <v>0</v>
      </c>
      <c r="J343" s="101">
        <f t="shared" ref="J343:S343" si="131">J336/(1+$D$324)^J$341</f>
        <v>-6758.7574800168995</v>
      </c>
      <c r="K343" s="101">
        <f t="shared" si="131"/>
        <v>-2503.4670786988563</v>
      </c>
      <c r="L343" s="101">
        <f t="shared" si="131"/>
        <v>10168.725079311787</v>
      </c>
      <c r="M343" s="101">
        <f t="shared" si="131"/>
        <v>15290.147486243013</v>
      </c>
      <c r="N343" s="101">
        <f t="shared" si="131"/>
        <v>19459.135587917994</v>
      </c>
      <c r="O343" s="101">
        <f t="shared" si="131"/>
        <v>21402.851402202017</v>
      </c>
      <c r="P343" s="101">
        <f t="shared" si="131"/>
        <v>23411.322219458285</v>
      </c>
      <c r="Q343" s="101">
        <f t="shared" si="131"/>
        <v>24295.174349295958</v>
      </c>
      <c r="R343" s="101">
        <f t="shared" si="131"/>
        <v>22708.978374885301</v>
      </c>
      <c r="S343" s="101">
        <f t="shared" si="131"/>
        <v>22513.528535576537</v>
      </c>
      <c r="T343" s="95"/>
    </row>
    <row r="344" spans="3:20">
      <c r="C344" s="64" t="s">
        <v>264</v>
      </c>
      <c r="I344" s="101">
        <v>0</v>
      </c>
      <c r="J344" s="101">
        <f t="shared" ref="J344:S344" si="132">J337/(1+$D$324)^J$341</f>
        <v>0</v>
      </c>
      <c r="K344" s="101">
        <f t="shared" si="132"/>
        <v>0</v>
      </c>
      <c r="L344" s="101">
        <f t="shared" si="132"/>
        <v>0</v>
      </c>
      <c r="M344" s="101">
        <f t="shared" si="132"/>
        <v>0</v>
      </c>
      <c r="N344" s="101">
        <f t="shared" si="132"/>
        <v>0</v>
      </c>
      <c r="O344" s="101">
        <f t="shared" si="132"/>
        <v>0</v>
      </c>
      <c r="P344" s="101">
        <f t="shared" si="132"/>
        <v>0</v>
      </c>
      <c r="Q344" s="101">
        <f t="shared" si="132"/>
        <v>0</v>
      </c>
      <c r="R344" s="101">
        <f t="shared" si="132"/>
        <v>0</v>
      </c>
      <c r="S344" s="101">
        <f t="shared" si="132"/>
        <v>439797.1044340363</v>
      </c>
      <c r="T344" s="95"/>
    </row>
    <row r="345" spans="3:20">
      <c r="C345" s="60" t="s">
        <v>265</v>
      </c>
      <c r="I345" s="103">
        <f t="shared" ref="I345:S345" si="133">I343+I344</f>
        <v>0</v>
      </c>
      <c r="J345" s="103">
        <f t="shared" si="133"/>
        <v>-6758.7574800168995</v>
      </c>
      <c r="K345" s="103">
        <f t="shared" si="133"/>
        <v>-2503.4670786988563</v>
      </c>
      <c r="L345" s="103">
        <f t="shared" si="133"/>
        <v>10168.725079311787</v>
      </c>
      <c r="M345" s="103">
        <f t="shared" si="133"/>
        <v>15290.147486243013</v>
      </c>
      <c r="N345" s="103">
        <f t="shared" si="133"/>
        <v>19459.135587917994</v>
      </c>
      <c r="O345" s="103">
        <f t="shared" si="133"/>
        <v>21402.851402202017</v>
      </c>
      <c r="P345" s="103">
        <f t="shared" si="133"/>
        <v>23411.322219458285</v>
      </c>
      <c r="Q345" s="103">
        <f t="shared" si="133"/>
        <v>24295.174349295958</v>
      </c>
      <c r="R345" s="103">
        <f t="shared" si="133"/>
        <v>22708.978374885301</v>
      </c>
      <c r="S345" s="103">
        <f t="shared" si="133"/>
        <v>462310.63296961284</v>
      </c>
      <c r="T345" s="95"/>
    </row>
    <row r="348" spans="3:20">
      <c r="G348" s="45" t="s">
        <v>270</v>
      </c>
      <c r="K348" s="45" t="s">
        <v>270</v>
      </c>
      <c r="N348" s="95"/>
    </row>
    <row r="349" spans="3:20">
      <c r="G349" s="64" t="s">
        <v>271</v>
      </c>
      <c r="I349" s="108">
        <f>SUM($J$345:$S$345)</f>
        <v>589784.74291021144</v>
      </c>
      <c r="K349" s="64" t="s">
        <v>272</v>
      </c>
      <c r="M349" s="72">
        <f>N349/$N$351</f>
        <v>0.25430911918148619</v>
      </c>
      <c r="N349" s="101">
        <f>SUM($J$343:$S$343)</f>
        <v>149987.63847617514</v>
      </c>
    </row>
    <row r="350" spans="3:20">
      <c r="G350" s="64" t="s">
        <v>273</v>
      </c>
      <c r="I350" s="101">
        <f>XNPV($D$324,$I$338:$S$338,$I$324:$S$324)</f>
        <v>589368.33805604337</v>
      </c>
      <c r="K350" s="64" t="s">
        <v>274</v>
      </c>
      <c r="M350" s="72">
        <f>N350/$N$351</f>
        <v>0.74569088081851387</v>
      </c>
      <c r="N350" s="101">
        <f>SUM($J$344:$S$344)</f>
        <v>439797.1044340363</v>
      </c>
    </row>
    <row r="351" spans="3:20">
      <c r="I351" s="102"/>
      <c r="K351" s="60" t="s">
        <v>38</v>
      </c>
      <c r="M351" s="92">
        <f>N351/$N$351</f>
        <v>1</v>
      </c>
      <c r="N351" s="103">
        <f>SUM(N349:N350)</f>
        <v>589784.74291021144</v>
      </c>
    </row>
    <row r="352" spans="3:20">
      <c r="I352" s="102"/>
      <c r="N352" s="102"/>
    </row>
    <row r="353" spans="7:14">
      <c r="G353" s="45" t="s">
        <v>275</v>
      </c>
      <c r="I353" s="102"/>
      <c r="K353" s="45" t="s">
        <v>276</v>
      </c>
      <c r="N353" s="102"/>
    </row>
    <row r="354" spans="7:14">
      <c r="G354" s="64" t="s">
        <v>38</v>
      </c>
      <c r="I354" s="101">
        <f>$I$349</f>
        <v>589784.74291021144</v>
      </c>
      <c r="K354" s="64" t="s">
        <v>40</v>
      </c>
      <c r="N354" s="101">
        <f>$I$356</f>
        <v>625467.74291021144</v>
      </c>
    </row>
    <row r="355" spans="7:14">
      <c r="G355" s="64" t="s">
        <v>277</v>
      </c>
      <c r="I355" s="101">
        <f>-Inputs!$M$132</f>
        <v>35683</v>
      </c>
      <c r="K355" s="64" t="s">
        <v>33</v>
      </c>
      <c r="M355" s="33" t="s">
        <v>34</v>
      </c>
      <c r="N355" s="101">
        <f>Inputs!$G$140</f>
        <v>3545</v>
      </c>
    </row>
    <row r="356" spans="7:14">
      <c r="G356" s="60" t="s">
        <v>40</v>
      </c>
      <c r="I356" s="103">
        <f>SUM($I$354:$I$355)</f>
        <v>625467.74291021144</v>
      </c>
      <c r="K356" s="60" t="s">
        <v>39</v>
      </c>
      <c r="M356" s="33" t="s">
        <v>278</v>
      </c>
      <c r="N356" s="107">
        <f>N354/N355</f>
        <v>176.436598846322</v>
      </c>
    </row>
    <row r="358" spans="7:14">
      <c r="G358" s="33" t="s">
        <v>282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"/>
  <sheetViews>
    <sheetView showGridLines="0" tabSelected="1" zoomScaleNormal="100" workbookViewId="0">
      <pane ySplit="1" topLeftCell="A41" activePane="bottomLeft" state="frozen"/>
      <selection pane="bottomLeft" activeCell="F67" sqref="F67"/>
    </sheetView>
  </sheetViews>
  <sheetFormatPr defaultColWidth="8.7109375" defaultRowHeight="15"/>
  <cols>
    <col min="3" max="3" width="2.42578125" customWidth="1"/>
    <col min="4" max="4" width="26" customWidth="1"/>
    <col min="5" max="5" width="34" customWidth="1"/>
    <col min="6" max="13" width="14" customWidth="1"/>
    <col min="14" max="14" width="3" customWidth="1"/>
  </cols>
  <sheetData>
    <row r="1" spans="1:14" s="118" customFormat="1" ht="69.75" customHeight="1">
      <c r="A1" s="117"/>
      <c r="B1" s="117"/>
      <c r="C1" s="119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5" spans="1:14">
      <c r="C5" s="4" t="s">
        <v>16</v>
      </c>
      <c r="D5" s="5" t="s">
        <v>283</v>
      </c>
      <c r="E5" s="4"/>
      <c r="F5" s="4"/>
      <c r="G5" s="4"/>
      <c r="H5" s="4"/>
      <c r="I5" s="4"/>
      <c r="J5" s="4"/>
      <c r="K5" s="4"/>
      <c r="L5" s="4"/>
      <c r="M5" s="4"/>
      <c r="N5" s="4"/>
    </row>
    <row r="7" spans="1:14">
      <c r="D7" s="2" t="s">
        <v>284</v>
      </c>
    </row>
    <row r="8" spans="1:14">
      <c r="D8" s="2" t="s">
        <v>285</v>
      </c>
    </row>
    <row r="10" spans="1:14">
      <c r="D10" s="15" t="s">
        <v>70</v>
      </c>
      <c r="E10" s="15" t="s">
        <v>286</v>
      </c>
      <c r="F10" s="11" t="s">
        <v>287</v>
      </c>
      <c r="G10" s="11" t="s">
        <v>288</v>
      </c>
      <c r="H10" s="11" t="s">
        <v>289</v>
      </c>
    </row>
    <row r="12" spans="1:14">
      <c r="D12" s="3" t="s">
        <v>78</v>
      </c>
      <c r="E12" s="2" t="s">
        <v>290</v>
      </c>
      <c r="F12" s="16">
        <v>1</v>
      </c>
      <c r="G12" s="16">
        <v>6.7</v>
      </c>
      <c r="H12" s="16">
        <v>16</v>
      </c>
    </row>
    <row r="13" spans="1:14">
      <c r="D13" s="3" t="s">
        <v>80</v>
      </c>
      <c r="E13" s="2" t="s">
        <v>291</v>
      </c>
      <c r="F13" s="16">
        <v>0.2</v>
      </c>
      <c r="G13" s="16">
        <v>2.5</v>
      </c>
      <c r="H13" s="16">
        <v>39.1</v>
      </c>
    </row>
    <row r="14" spans="1:14">
      <c r="D14" s="3" t="s">
        <v>81</v>
      </c>
      <c r="E14" s="2" t="s">
        <v>292</v>
      </c>
      <c r="F14" s="16">
        <v>5.8</v>
      </c>
      <c r="G14" s="17" t="s">
        <v>293</v>
      </c>
      <c r="H14" s="17" t="s">
        <v>293</v>
      </c>
    </row>
    <row r="15" spans="1:14">
      <c r="D15" s="3" t="s">
        <v>82</v>
      </c>
      <c r="E15" s="2" t="s">
        <v>294</v>
      </c>
      <c r="F15" s="16">
        <v>0.6</v>
      </c>
      <c r="G15" s="16">
        <v>8.4</v>
      </c>
      <c r="H15" s="16">
        <v>63.4</v>
      </c>
    </row>
    <row r="16" spans="1:14">
      <c r="D16" s="3" t="s">
        <v>83</v>
      </c>
      <c r="E16" s="2" t="s">
        <v>295</v>
      </c>
      <c r="F16" s="16">
        <v>2.6</v>
      </c>
      <c r="G16" s="17" t="s">
        <v>293</v>
      </c>
      <c r="H16" s="17" t="s">
        <v>293</v>
      </c>
    </row>
    <row r="17" spans="3:14">
      <c r="D17" s="3" t="s">
        <v>85</v>
      </c>
      <c r="E17" s="2" t="s">
        <v>295</v>
      </c>
      <c r="F17" s="16">
        <v>2.5</v>
      </c>
      <c r="G17" s="17" t="s">
        <v>293</v>
      </c>
      <c r="H17" s="17" t="s">
        <v>293</v>
      </c>
    </row>
    <row r="18" spans="3:14">
      <c r="D18" s="3" t="s">
        <v>86</v>
      </c>
      <c r="E18" s="2" t="s">
        <v>296</v>
      </c>
      <c r="F18" s="16">
        <v>0.4</v>
      </c>
      <c r="G18" s="16">
        <v>3.2</v>
      </c>
      <c r="H18" s="16">
        <v>6.4</v>
      </c>
    </row>
    <row r="19" spans="3:14">
      <c r="D19" s="3" t="s">
        <v>87</v>
      </c>
      <c r="E19" s="2" t="s">
        <v>296</v>
      </c>
      <c r="F19" s="16">
        <v>2.5</v>
      </c>
      <c r="G19" s="16">
        <v>3.8</v>
      </c>
      <c r="H19" s="16">
        <v>8</v>
      </c>
    </row>
    <row r="21" spans="3:14">
      <c r="D21" s="1" t="s">
        <v>297</v>
      </c>
      <c r="F21" s="18">
        <f>AVERAGE(F12:F19)</f>
        <v>1.95</v>
      </c>
      <c r="G21" s="18">
        <f>AVERAGE(G12:G19)</f>
        <v>4.92</v>
      </c>
      <c r="H21" s="18">
        <f>AVERAGE(H12:H19)</f>
        <v>26.580000000000002</v>
      </c>
    </row>
    <row r="22" spans="3:14">
      <c r="D22" s="1" t="s">
        <v>298</v>
      </c>
      <c r="F22" s="18">
        <f>MEDIAN(F12:F19)</f>
        <v>1.75</v>
      </c>
      <c r="G22" s="18">
        <f>MEDIAN(G12:G19)</f>
        <v>3.8</v>
      </c>
      <c r="H22" s="18">
        <f>MEDIAN(H12:H19)</f>
        <v>16</v>
      </c>
    </row>
    <row r="24" spans="3:14">
      <c r="D24" s="1" t="s">
        <v>299</v>
      </c>
      <c r="E24" s="2" t="s">
        <v>300</v>
      </c>
      <c r="F24" s="19">
        <f>$F$33/Model!$J$27</f>
        <v>9.7875733617686915</v>
      </c>
      <c r="G24" s="19">
        <f>$F$33/Model!$J$256</f>
        <v>87.043338444841837</v>
      </c>
      <c r="H24" s="19">
        <f>Inputs!$G$141/(Model!$J$85/Inputs!$G$140)</f>
        <v>276.90717230759145</v>
      </c>
    </row>
    <row r="26" spans="3:14">
      <c r="D26" s="2" t="s">
        <v>301</v>
      </c>
    </row>
    <row r="27" spans="3:14">
      <c r="D27" s="2" t="s">
        <v>302</v>
      </c>
    </row>
    <row r="28" spans="3:14">
      <c r="C28" s="4" t="s">
        <v>16</v>
      </c>
      <c r="D28" s="5" t="s">
        <v>303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3:14">
      <c r="D29" s="2" t="s">
        <v>304</v>
      </c>
    </row>
    <row r="31" spans="3:14" ht="26.25" customHeight="1">
      <c r="D31" s="15" t="s">
        <v>305</v>
      </c>
      <c r="E31" s="11" t="s">
        <v>306</v>
      </c>
      <c r="F31" s="11" t="s">
        <v>38</v>
      </c>
      <c r="G31" s="11" t="s">
        <v>40</v>
      </c>
      <c r="H31" s="11" t="s">
        <v>307</v>
      </c>
      <c r="I31" s="11" t="s">
        <v>308</v>
      </c>
    </row>
    <row r="33" spans="3:14">
      <c r="D33" s="1" t="s">
        <v>309</v>
      </c>
      <c r="E33" s="2" t="s">
        <v>310</v>
      </c>
      <c r="F33" s="6">
        <f>Inputs!$G$140*Inputs!$G$141+Inputs!$M$132</f>
        <v>1060501.9000000001</v>
      </c>
      <c r="G33" s="6">
        <f>Inputs!$G$140*Inputs!$G$141</f>
        <v>1096184.9000000001</v>
      </c>
      <c r="H33" s="20">
        <f>Inputs!$G$141</f>
        <v>309.22000000000003</v>
      </c>
      <c r="I33" s="9">
        <v>0</v>
      </c>
    </row>
    <row r="35" spans="3:14">
      <c r="D35" s="3" t="s">
        <v>311</v>
      </c>
      <c r="E35" s="7">
        <f>Model!$J$27</f>
        <v>108351.87239999999</v>
      </c>
      <c r="F35" s="7">
        <f>E35*$F$22</f>
        <v>189615.77669999999</v>
      </c>
      <c r="G35" s="7">
        <f>F35-Inputs!$M$132</f>
        <v>225298.77669999999</v>
      </c>
      <c r="H35" s="20">
        <f>G35/Inputs!$G$140</f>
        <v>63.553956755994356</v>
      </c>
      <c r="I35" s="9">
        <f>H35/Inputs!$G$141-1</f>
        <v>-0.79447009651382716</v>
      </c>
    </row>
    <row r="36" spans="3:14">
      <c r="D36" s="3" t="s">
        <v>312</v>
      </c>
      <c r="E36" s="7">
        <f>Model!$J$256</f>
        <v>12183.607831999981</v>
      </c>
      <c r="F36" s="7">
        <f>E36*$G$22</f>
        <v>46297.70976159993</v>
      </c>
      <c r="G36" s="7">
        <f>F36-Inputs!$M$132</f>
        <v>81980.709761599923</v>
      </c>
      <c r="H36" s="20">
        <f>G36/Inputs!$G$140</f>
        <v>23.125729128801108</v>
      </c>
      <c r="I36" s="9">
        <f>H36/Inputs!$G$141-1</f>
        <v>-0.9252126992794738</v>
      </c>
    </row>
    <row r="37" spans="3:14">
      <c r="D37" s="3" t="s">
        <v>313</v>
      </c>
      <c r="E37" s="7">
        <f>Model!$J$27</f>
        <v>108351.87239999999</v>
      </c>
      <c r="F37" s="7">
        <f>E37*$F$21</f>
        <v>211286.15117999999</v>
      </c>
      <c r="G37" s="7">
        <f>F37-Inputs!$M$132</f>
        <v>246969.15117999999</v>
      </c>
      <c r="H37" s="20">
        <f>G37/Inputs!$G$140</f>
        <v>69.666897370944994</v>
      </c>
      <c r="I37" s="9">
        <f>H37/Inputs!$G$141-1</f>
        <v>-0.77470119212552557</v>
      </c>
    </row>
    <row r="38" spans="3:14">
      <c r="D38" s="3" t="s">
        <v>314</v>
      </c>
      <c r="E38" s="7">
        <f>Model!$J$256</f>
        <v>12183.607831999981</v>
      </c>
      <c r="F38" s="7">
        <f>E38*$G$21</f>
        <v>59943.350533439909</v>
      </c>
      <c r="G38" s="7">
        <f>F38-Inputs!$M$132</f>
        <v>95626.350533439909</v>
      </c>
      <c r="H38" s="20">
        <f>G38/Inputs!$G$140</f>
        <v>26.974993098290525</v>
      </c>
      <c r="I38" s="9">
        <f>H38/Inputs!$G$141-1</f>
        <v>-0.91276439719846536</v>
      </c>
    </row>
    <row r="40" spans="3:14">
      <c r="D40" s="1" t="s">
        <v>315</v>
      </c>
      <c r="E40" s="10">
        <v>1</v>
      </c>
      <c r="G40" s="2" t="s">
        <v>316</v>
      </c>
    </row>
    <row r="41" spans="3:14">
      <c r="D41" s="3" t="s">
        <v>317</v>
      </c>
      <c r="E41" s="7">
        <f>Model!$J$256</f>
        <v>12183.607831999981</v>
      </c>
      <c r="F41" s="7">
        <f>E41*$G$22*(1+$E$40)</f>
        <v>92595.41952319986</v>
      </c>
      <c r="G41" s="7">
        <f>F41-Inputs!$M$132</f>
        <v>128278.41952319986</v>
      </c>
      <c r="H41" s="20">
        <f>G41/Inputs!$G$140</f>
        <v>36.185731882425912</v>
      </c>
      <c r="I41" s="9">
        <f>H41/Inputs!$G$141-1</f>
        <v>-0.8829773886474811</v>
      </c>
    </row>
    <row r="43" spans="3:14">
      <c r="D43" s="2" t="s">
        <v>318</v>
      </c>
    </row>
    <row r="45" spans="3:14">
      <c r="C45" s="4" t="s">
        <v>16</v>
      </c>
      <c r="D45" s="5" t="s">
        <v>319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8" spans="3:14" ht="26.25" customHeight="1">
      <c r="D48" s="15" t="s">
        <v>320</v>
      </c>
      <c r="E48" s="11" t="s">
        <v>321</v>
      </c>
      <c r="F48" s="11" t="s">
        <v>38</v>
      </c>
      <c r="G48" s="11" t="s">
        <v>40</v>
      </c>
      <c r="H48" s="11" t="s">
        <v>307</v>
      </c>
      <c r="I48" s="11" t="s">
        <v>308</v>
      </c>
    </row>
    <row r="50" spans="4:9">
      <c r="D50" s="3" t="s">
        <v>322</v>
      </c>
      <c r="E50" s="10">
        <v>0.4</v>
      </c>
      <c r="F50" s="7">
        <f>Model!$I$307</f>
        <v>616187.57518884819</v>
      </c>
      <c r="G50" s="7">
        <f>F50-Inputs!$M$132</f>
        <v>651870.57518884819</v>
      </c>
      <c r="H50" s="8">
        <f>G50/Inputs!$G$140</f>
        <v>183.88450640023927</v>
      </c>
      <c r="I50" s="9">
        <f>H50/Inputs!$G$141-1</f>
        <v>-0.4053279011699138</v>
      </c>
    </row>
    <row r="51" spans="4:9">
      <c r="D51" s="3" t="s">
        <v>323</v>
      </c>
      <c r="E51" s="10">
        <v>0.35</v>
      </c>
      <c r="F51" s="7">
        <f>Model!$I$349</f>
        <v>589784.74291021144</v>
      </c>
      <c r="G51" s="7">
        <f>F51-Inputs!$M$132</f>
        <v>625467.74291021144</v>
      </c>
      <c r="H51" s="8">
        <f>G51/Inputs!$G$140</f>
        <v>176.436598846322</v>
      </c>
      <c r="I51" s="9">
        <f>H51/Inputs!$G$141-1</f>
        <v>-0.42941401317404437</v>
      </c>
    </row>
    <row r="52" spans="4:9">
      <c r="D52" s="3" t="s">
        <v>324</v>
      </c>
      <c r="E52" s="10">
        <v>0.25</v>
      </c>
      <c r="F52" s="7">
        <f>$F$41</f>
        <v>92595.41952319986</v>
      </c>
      <c r="G52" s="7">
        <f>F52-Inputs!$M$132</f>
        <v>128278.41952319986</v>
      </c>
      <c r="H52" s="8">
        <f>G52/Inputs!$G$140</f>
        <v>36.185731882425912</v>
      </c>
      <c r="I52" s="9">
        <f>H52/Inputs!$G$141-1</f>
        <v>-0.8829773886474811</v>
      </c>
    </row>
    <row r="54" spans="4:9">
      <c r="D54" s="1" t="s">
        <v>325</v>
      </c>
      <c r="E54" s="12">
        <f>SUM(E50:E52)</f>
        <v>1</v>
      </c>
      <c r="F54" s="13">
        <f>SUMPRODUCT(E50:E52,F50:F52)</f>
        <v>476048.54497491318</v>
      </c>
      <c r="G54" s="13">
        <f>F54-Inputs!$M$132</f>
        <v>511731.54497491318</v>
      </c>
      <c r="H54" s="14">
        <f>G54/Inputs!$G$140</f>
        <v>144.35304512691485</v>
      </c>
      <c r="I54" s="21">
        <f>H54/Inputs!$G$141-1</f>
        <v>-0.53317041224075146</v>
      </c>
    </row>
    <row r="56" spans="4:9">
      <c r="D56" s="1" t="s">
        <v>36</v>
      </c>
      <c r="H56" s="20">
        <f>Inputs!$G$141</f>
        <v>309.22000000000003</v>
      </c>
    </row>
    <row r="58" spans="4:9" ht="15.75" customHeight="1">
      <c r="D58" s="1" t="s">
        <v>326</v>
      </c>
      <c r="E58" s="22" t="str">
        <f>IF(H54/Inputs!$G$141-1&gt;0.15,"BUY",IF(H54/Inputs!$G$141-1&lt;-0.15,"SELL","HOLD"))</f>
        <v>SELL</v>
      </c>
      <c r="G58" s="2" t="s">
        <v>327</v>
      </c>
    </row>
    <row r="64" spans="4:9">
      <c r="D64" s="1" t="s">
        <v>328</v>
      </c>
      <c r="H64" s="8">
        <f>Outputs!$I$18</f>
        <v>61.226638813246261</v>
      </c>
    </row>
    <row r="65" spans="4:8">
      <c r="D65" s="3" t="s">
        <v>329</v>
      </c>
      <c r="H65" s="8">
        <f>H54</f>
        <v>144.35304512691485</v>
      </c>
    </row>
    <row r="66" spans="4:8">
      <c r="D66" s="3" t="s">
        <v>330</v>
      </c>
      <c r="H66" s="8">
        <f>Outputs!$I$16</f>
        <v>417.31840732992384</v>
      </c>
    </row>
    <row r="67" spans="4:8">
      <c r="D67" s="3" t="s">
        <v>331</v>
      </c>
    </row>
    <row r="69" spans="4:8">
      <c r="D69" s="2" t="s">
        <v>332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2026-07-28T20:51:06Z</dcterms:created>
  <dcterms:modified xsi:type="dcterms:W3CDTF">2026-08-02T13:50:45Z</dcterms:modified>
  <cp:category/>
  <cp:contentStatus/>
</cp:coreProperties>
</file>